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dd664ac1b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a772843642842ce"/>
    <x:sheet xmlns:r="http://schemas.openxmlformats.org/officeDocument/2006/relationships" name="Inputs" sheetId="2" r:id="Reca84c65b4cc4dae"/>
    <x:sheet xmlns:r="http://schemas.openxmlformats.org/officeDocument/2006/relationships" name="Modelo" sheetId="3" r:id="Rea35a656391a4572"/>
    <x:sheet xmlns:r="http://schemas.openxmlformats.org/officeDocument/2006/relationships" name="Sensibilidade" sheetId="4" r:id="R249a2d6f1f334153"/>
    <x:sheet xmlns:r="http://schemas.openxmlformats.org/officeDocument/2006/relationships" name="Checks" sheetId="5" r:id="R42e2402cfa9d4310"/>
    <x:sheet xmlns:r="http://schemas.openxmlformats.org/officeDocument/2006/relationships" name="Fontes" sheetId="6" r:id="Ref455f56425e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.00000"/>
    <x:numFmt numFmtId="202" formatCode="0.00"/>
    <x:numFmt numFmtId="203" formatCode="0.0000"/>
    <x:numFmt numFmtId="204" formatCode="0.0000000"/>
    <x:numFmt numFmtId="205" formatCode="0"/>
    <x:numFmt numFmtId="206" formatCode="@"/>
    <x:numFmt numFmtId="207" formatCode="0.00E+00"/>
    <x:numFmt numFmtId="208" formatCode="0.0"/>
    <x:numFmt numFmtId="209" formatCode="0.000E+00"/>
  </x:numFmts>
  <x:fonts count="4">
    <x:font>
      <x:sz val="11"/>
      <x:name val="Carlito"/>
    </x:font>
    <x:font>
      <x:b/>
      <x:sz val="16"/>
      <x:color rgb="FF1F2933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D7E0E7"/>
      </x:left>
      <x:top style="thin">
        <x:color rgb="FFD7E0E7"/>
      </x:top>
      <x:bottom style="thin">
        <x:color rgb="FFD7E0E7"/>
      </x:bottom>
    </x:border>
    <x:border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left"/>
    </x:xf>
    <x:xf numFmtId="0" fontId="2" borderId="1" xfId="0" applyNumberFormat="1" applyFont="1" applyFill="0" applyBorder="1" applyAlignment="1">
      <x:alignment horizontal="left"/>
    </x:xf>
    <x:xf numFmtId="0" fontId="2" borderId="2" xfId="0" applyNumberFormat="1" applyFont="1" applyFill="0" applyBorder="1" applyAlignment="1">
      <x:alignment horizontal="left"/>
    </x:xf>
    <x:xf numFmtId="0" fontId="2" borderId="3" xfId="0" applyNumberFormat="1" applyFont="1" applyFill="0" applyBorder="1" applyAlignment="1">
      <x:alignment horizontal="left"/>
    </x:xf>
    <x:xf numFmtId="0" fontId="2" borderId="4" xfId="0" applyNumberFormat="1" applyFont="1" applyFill="0" applyBorder="1"/>
    <x:xf numFmtId="0" fontId="2" borderId="4" xfId="0" applyNumberFormat="1" applyFont="1" applyFill="0" applyBorder="1" applyAlignment="1">
      <x:alignment wrapText="1"/>
    </x:xf>
    <x:xf numFmtId="0" fontId="2" borderId="4" xfId="0" applyNumberFormat="1" applyFont="1" applyFill="0" applyBorder="1" applyAlignment="1">
      <x:alignment horizontal="center" wrapText="1"/>
    </x:xf>
    <x:xf numFmtId="0" fontId="2" borderId="4" xfId="0" applyNumberFormat="1" applyFont="1" applyFill="0" applyBorder="1" applyAlignment="1">
      <x:alignment horizontal="center" vertical="center" wrapText="1"/>
    </x:xf>
    <x:xf numFmtId="0" fontId="3" borderId="0" xfId="0" applyNumberFormat="1" applyFont="1" applyFill="0" applyBorder="1"/>
    <x:xf numFmtId="0" fontId="3" borderId="4" xfId="0" applyNumberFormat="1" applyFont="1" applyFill="0" applyBorder="1"/>
    <x:xf numFmtId="0" fontId="3" borderId="4" xfId="0" applyNumberFormat="1" applyFont="1" applyFill="0" applyBorder="1" applyAlignment="1">
      <x:alignment vertical="center"/>
    </x:xf>
    <x:xf numFmtId="200" fontId="3" borderId="4" xfId="0" applyNumberFormat="1" applyFont="1" applyFill="0" applyBorder="1" applyAlignment="1">
      <x:alignment vertical="center"/>
    </x:xf>
    <x:xf numFmtId="201" fontId="3" borderId="4" xfId="0" applyNumberFormat="1" applyFont="1" applyFill="0" applyBorder="1" applyAlignment="1">
      <x:alignment vertical="center"/>
    </x:xf>
    <x:xf numFmtId="202" fontId="3" borderId="4" xfId="0" applyNumberFormat="1" applyFont="1" applyFill="0" applyBorder="1" applyAlignment="1">
      <x:alignment vertical="center"/>
    </x:xf>
    <x:xf numFmtId="203" fontId="3" borderId="4" xfId="0" applyNumberFormat="1" applyFont="1" applyFill="0" applyBorder="1" applyAlignment="1">
      <x:alignment vertical="center"/>
    </x:xf>
    <x:xf numFmtId="204" fontId="3" borderId="4" xfId="0" applyNumberFormat="1" applyFont="1" applyFill="0" applyBorder="1" applyAlignment="1">
      <x:alignment vertical="center"/>
    </x:xf>
    <x:xf numFmtId="205" fontId="3" borderId="4" xfId="0" applyNumberFormat="1" applyFont="1" applyFill="0" applyBorder="1" applyAlignment="1">
      <x:alignment vertical="center"/>
    </x:xf>
    <x:xf numFmtId="206" fontId="3" borderId="4" xfId="0" applyNumberFormat="1" applyFont="1" applyFill="0" applyBorder="1" applyAlignment="1">
      <x:alignment vertical="center"/>
    </x:xf>
    <x:xf numFmtId="207" fontId="3" borderId="4" xfId="0" applyNumberFormat="1" applyFont="1" applyFill="0" applyBorder="1" applyAlignment="1">
      <x:alignment vertical="center"/>
    </x:xf>
    <x:xf numFmtId="208" fontId="3" borderId="4" xfId="0" applyNumberFormat="1" applyFont="1" applyFill="0" applyBorder="1" applyAlignment="1">
      <x:alignment vertical="center"/>
    </x:xf>
    <x:xf numFmtId="209" fontId="3" borderId="4" xfId="0" applyNumberFormat="1" applyFont="1" applyFill="0" applyBorder="1" applyAlignment="1">
      <x:alignment vertical="center"/>
    </x:xf>
    <x:xf numFmtId="206" fontId="2" borderId="4" xfId="0" applyNumberFormat="1" applyFont="1" applyFill="0" applyBorder="1" applyAlignment="1">
      <x:alignment vertical="center"/>
    </x:xf>
    <x:xf numFmtId="0" fontId="3" borderId="4" xfId="0" applyNumberFormat="1" applyFont="1" applyFill="0" applyBorder="1" applyAlignment="1">
      <x:alignment vertical="center" wrapText="1"/>
    </x:xf>
    <x:xf numFmtId="0" fontId="2" borderId="4" xfId="0" applyNumberFormat="1" applyFont="1" applyFill="0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dfad7764944f3" /><Relationship Type="http://schemas.openxmlformats.org/officeDocument/2006/relationships/theme" Target="/xl/theme/theme1.xml" Id="R0cc8ac9a8e0f4b6c" /><Relationship Type="http://schemas.openxmlformats.org/officeDocument/2006/relationships/sharedStrings" Target="/xl/sharedStrings.xml" Id="R4d486d1e78384b48" /><Relationship Type="http://schemas.openxmlformats.org/officeDocument/2006/relationships/worksheet" Target="/xl/worksheets/sheet1.xml" Id="Rba772843642842ce" /><Relationship Type="http://schemas.openxmlformats.org/officeDocument/2006/relationships/worksheet" Target="/xl/worksheets/sheet2.xml" Id="Reca84c65b4cc4dae" /><Relationship Type="http://schemas.openxmlformats.org/officeDocument/2006/relationships/worksheet" Target="/xl/worksheets/sheet3.xml" Id="Rea35a656391a4572" /><Relationship Type="http://schemas.openxmlformats.org/officeDocument/2006/relationships/worksheet" Target="/xl/worksheets/sheet4.xml" Id="R249a2d6f1f334153" /><Relationship Type="http://schemas.openxmlformats.org/officeDocument/2006/relationships/worksheet" Target="/xl/worksheets/sheet5.xml" Id="R42e2402cfa9d4310" /><Relationship Type="http://schemas.openxmlformats.org/officeDocument/2006/relationships/worksheet" Target="/xl/worksheets/sheet6.xml" Id="Ref455f56425e4c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c4c1e109274f24" /><Relationship Type="http://schemas.openxmlformats.org/officeDocument/2006/relationships/chart" Target="/xl/drawings/charts/chart2.xml" Id="Rfb1359feccd84ca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9499743a1a447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Rotacao requerida por criterio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rpm Vtip cte</c:v>
          </c:tx>
          <c:cat>
            <c:strRef>
              <c:f>'Resumo'!$J$4:$J$7</c:f>
              <c:strCache>
                <c:ptCount val="0"/>
              </c:strCache>
            </c:strRef>
          </c:cat>
          <c:val>
            <c:numRef>
              <c:f>'Resumo'!$K$4:$K$7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rpm KLa cte</c:v>
          </c:tx>
          <c:cat>
            <c:strRef>
              <c:f>'Resumo'!$J$4:$J$7</c:f>
              <c:strCache>
                <c:ptCount val="0"/>
              </c:strCache>
            </c:strRef>
          </c:cat>
          <c:val>
            <c:numRef>
              <c:f>'Resumo'!$L$4:$L$7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Potencia estimada por escala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 Vtip kW</c:v>
          </c:tx>
          <c:cat>
            <c:strRef>
              <c:f>'Resumo'!$J$11:$J$14</c:f>
              <c:strCache>
                <c:ptCount val="0"/>
              </c:strCache>
            </c:strRef>
          </c:cat>
          <c:val>
            <c:numRef>
              <c:f>'Resumo'!$K$11:$K$14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 KLa kW</c:v>
          </c:tx>
          <c:cat>
            <c:strRef>
              <c:f>'Resumo'!$J$11:$J$14</c:f>
              <c:strCache>
                <c:ptCount val="0"/>
              </c:strCache>
            </c:strRef>
          </c:cat>
          <c:val>
            <c:numRef>
              <c:f>'Resumo'!$L$11:$L$14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Impacto de VVM na rotacao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rpm KLa cte</c:v>
          </c:tx>
          <c:cat>
            <c:strRef>
              <c:f>'Sensibilidade'!$K$8:$K$13</c:f>
              <c:strCache>
                <c:ptCount val="0"/>
              </c:strCache>
            </c:strRef>
          </c:cat>
          <c:val>
            <c:numRef>
              <c:f>'Sensibilidade'!$L$8:$L$13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rpm Vtip cte</c:v>
          </c:tx>
          <c:cat>
            <c:strRef>
              <c:f>'Sensibilidade'!$K$8:$K$13</c:f>
              <c:strCache>
                <c:ptCount val="0"/>
              </c:strCache>
            </c:strRef>
          </c:cat>
          <c:val>
            <c:numRef>
              <c:f>'Sensibilidade'!$M$8:$M$13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17</xdr:row>
      <xdr:rowOff>0</xdr:rowOff>
    </xdr:from>
    <xdr:ext cx="6096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c4c1e109274f24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5334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1359feccd84ca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15</xdr:row>
      <xdr:rowOff>0</xdr:rowOff>
    </xdr:from>
    <xdr:ext cx="6667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499743a1a447a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7580a6afbf4b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b58a3476793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9.4399995803833" hidden="0" customWidth="1"/>
    <x:col min="3" max="3" width="11.670000076293945" hidden="0" customWidth="1"/>
    <x:col min="4" max="4" width="36.66999816894531" hidden="0" customWidth="1"/>
    <x:col min="5" max="5" width="12.779999732971191" hidden="0" customWidth="1"/>
    <x:col min="6" max="6" width="13.329999923706055" hidden="0" customWidth="1"/>
    <x:col min="7" max="7" width="13.329999923706055" hidden="0" customWidth="1"/>
    <x:col min="8" max="8" width="12.220000267028809" hidden="0" customWidth="1"/>
    <x:col min="9" max="9" width="3.3299999237060547" hidden="0" customWidth="1"/>
    <x:col min="10" max="10" width="16.670000076293945" hidden="0" customWidth="1"/>
    <x:col min="11" max="11" width="13.329999923706055" hidden="0" customWidth="1"/>
    <x:col min="12" max="12" width="13.329999923706055" hidden="0" customWidth="1"/>
    <x:col min="13" max="13" width="14.4399995803833" hidden="0" customWidth="1"/>
    <x:col min="14" max="14" width="3.3299999237060547" hidden="0" customWidth="1"/>
    <x:col min="15" max="15" width="3.3299999237060547" hidden="0" customWidth="1"/>
    <x:col min="16" max="16" width="3.3299999237060547" hidden="0" customWidth="1"/>
  </x:cols>
  <x:sheetData>
    <x:row r="1" ht="25.5" customHeight="1">
      <x:c r="A1" s="4" t="str">
        <x:v>Resumo executivo do modelo de aumento de escala STR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3" t="str">
        <x:v>Premissa</x:v>
      </x:c>
      <x:c r="B3" s="13" t="str">
        <x:v>Valor</x:v>
      </x:c>
      <x:c r="C3" s="13" t="str">
        <x:v>Unidade</x:v>
      </x:c>
      <x:c r="D3" s="13" t="str">
        <x:v>Comentario</x:v>
      </x:c>
      <x:c r="E3" t="str"/>
      <x:c r="F3" t="str"/>
      <x:c r="G3" t="str"/>
      <x:c r="H3" t="str"/>
      <x:c r="J3" s="13" t="str">
        <x:v>Escala</x:v>
      </x:c>
      <x:c r="K3" s="13" t="str">
        <x:v>rpm Vtip cte</x:v>
      </x:c>
      <x:c r="L3" s="13" t="str">
        <x:v>rpm KLa cte</x:v>
      </x:c>
      <x:c r="M3" s="13" t="str">
        <x:v>KLa h^-1 em Vtip cte</x:v>
      </x:c>
    </x:row>
    <x:row r="4">
      <x:c r="A4" s="28" t="str">
        <x:v>Aeracao constante</x:v>
      </x:c>
      <x:c r="B4" s="28" t="n">
        <x:f>Inputs!B5</x:f>
        <x:v>1.1</x:v>
      </x:c>
      <x:c r="C4" s="28" t="str">
        <x:v>VVM</x:v>
      </x:c>
      <x:c r="D4" s="28" t="str">
        <x:v>Assumida como aeracao especifica constante</x:v>
      </x:c>
      <x:c r="E4" t="str"/>
      <x:c r="F4" t="str"/>
      <x:c r="G4" t="str"/>
      <x:c r="H4" t="str"/>
      <x:c r="J4" s="16" t="str">
        <x:f>Modelo!A4</x:f>
        <x:v>Bancada</x:v>
      </x:c>
      <x:c r="K4" s="16" t="n">
        <x:f>Modelo!M4</x:f>
        <x:v>264.9996650500437</x:v>
      </x:c>
      <x:c r="L4" s="16" t="n">
        <x:f>Modelo!X4</x:f>
        <x:v>264.7126213026863</x:v>
      </x:c>
      <x:c r="M4" s="16" t="n">
        <x:f>Modelo!T4</x:f>
        <x:v>25.48677980178597</x:v>
      </x:c>
    </x:row>
    <x:row r="5">
      <x:c r="A5" s="28" t="str">
        <x:v>Criterio de cisalhamento</x:v>
      </x:c>
      <x:c r="B5" s="28" t="n">
        <x:f>Inputs!B7</x:f>
        <x:v>374.88</x:v>
      </x:c>
      <x:c r="C5" s="28" t="str">
        <x:v>cm/s</x:v>
      </x:c>
      <x:c r="D5" s="28" t="str">
        <x:v>Vtip constante = mesmo proxy de cisalhamento de bolhas</x:v>
      </x:c>
      <x:c r="E5" t="str"/>
      <x:c r="F5" t="str"/>
      <x:c r="G5" t="str"/>
      <x:c r="H5" t="str"/>
      <x:c r="J5" s="16" t="str">
        <x:f>Modelo!A5</x:f>
        <x:v>Industrial 100 L</x:v>
      </x:c>
      <x:c r="K5" s="16" t="n">
        <x:f>Modelo!M5</x:f>
        <x:v>77.93696568080252</x:v>
      </x:c>
      <x:c r="L5" s="16" t="n">
        <x:f>Modelo!X5</x:f>
        <x:v>68.11035905389548</x:v>
      </x:c>
      <x:c r="M5" s="16" t="n">
        <x:f>Modelo!T5</x:f>
        <x:v>30.162693594966324</x:v>
      </x:c>
    </x:row>
    <x:row r="6">
      <x:c r="A6" s="28" t="str">
        <x:v>Criterio recomendado pela tese</x:v>
      </x:c>
      <x:c r="B6" s="28" t="n">
        <x:f>Inputs!B6</x:f>
        <x:v>0.00707</x:v>
      </x:c>
      <x:c r="C6" s="28" t="str">
        <x:v>s^-1</x:v>
      </x:c>
      <x:c r="D6" s="28" t="str">
        <x:v>KLa constante preserva oxigenacao</x:v>
      </x:c>
      <x:c r="E6" t="str"/>
      <x:c r="F6" t="str"/>
      <x:c r="G6" t="str"/>
      <x:c r="H6" t="str"/>
      <x:c r="J6" s="16" t="str">
        <x:f>Modelo!A6</x:f>
        <x:v>Industrial 1.000 L</x:v>
      </x:c>
      <x:c r="K6" s="16" t="n">
        <x:f>Modelo!M6</x:f>
        <x:v>36.17513496296754</x:v>
      </x:c>
      <x:c r="L6" s="16" t="n">
        <x:f>Modelo!X6</x:f>
        <x:v>30.11035079711972</x:v>
      </x:c>
      <x:c r="M6" s="16" t="n">
        <x:f>Modelo!T6</x:f>
        <x:v>32.07279357167771</x:v>
      </x:c>
    </x:row>
    <x:row r="7">
      <x:c r="A7" s="28" t="str">
        <x:v>Modo de rotacao</x:v>
      </x:c>
      <x:c r="B7" s="28" t="str">
        <x:v>N = 2*PI()*rpm/60</x:v>
      </x:c>
      <x:c r="C7" s="28" t="str"/>
      <x:c r="D7" s="28" t="str">
        <x:v>Convencao usada na tese</x:v>
      </x:c>
      <x:c r="E7" t="str"/>
      <x:c r="F7" t="str"/>
      <x:c r="G7" t="str"/>
      <x:c r="H7" t="str"/>
      <x:c r="J7" s="16" t="str">
        <x:f>Modelo!A7</x:f>
        <x:v>Industrial 10.000 L</x:v>
      </x:c>
      <x:c r="K7" s="16" t="n">
        <x:f>Modelo!M7</x:f>
        <x:v>16.791010249854533</x:v>
      </x:c>
      <x:c r="L7" s="16" t="n">
        <x:f>Modelo!X7</x:f>
        <x:v>13.311238374300629</x:v>
      </x:c>
      <x:c r="M7" s="16" t="n">
        <x:f>Modelo!T7</x:f>
        <x:v>34.103853631398444</x:v>
      </x:c>
    </x:row>
    <x:row r="8">
      <x:c r="A8" s="28" t="str">
        <x:v>Faixa desejavel de Vtip</x:v>
      </x:c>
      <x:c r="B8" s="28" t="str">
        <x:v>250 a 500</x:v>
      </x:c>
      <x:c r="C8" s="28" t="str">
        <x:v>cm/s</x:v>
      </x:c>
      <x:c r="D8" s="28" t="str">
        <x:v>Schmidell, citado na tese</x:v>
      </x:c>
      <x:c r="E8" t="str"/>
      <x:c r="F8" t="str"/>
      <x:c r="G8" t="str"/>
      <x:c r="H8" t="str"/>
    </x:row>
    <x:row r="10">
      <x:c r="A10" s="7" t="str">
        <x:v>Setpoints por escala</x:v>
      </x:c>
      <x:c r="B10" s="8" t="str"/>
      <x:c r="C10" s="8" t="str"/>
      <x:c r="D10" s="8" t="str"/>
      <x:c r="E10" s="8" t="str"/>
      <x:c r="F10" s="8" t="str"/>
      <x:c r="G10" s="8" t="str"/>
      <x:c r="H10" s="9" t="str"/>
      <x:c r="J10" s="13" t="str">
        <x:v>Escala</x:v>
      </x:c>
      <x:c r="K10" s="13" t="str">
        <x:v>P Vtip kW</x:v>
      </x:c>
      <x:c r="L10" s="13" t="str">
        <x:v>P KLa kW</x:v>
      </x:c>
    </x:row>
    <x:row r="11">
      <x:c r="A11" s="13" t="str">
        <x:v>Escala</x:v>
      </x:c>
      <x:c r="B11" s="13" t="str">
        <x:v>V util L</x:v>
      </x:c>
      <x:c r="C11" s="13" t="str">
        <x:v>Q ar L/min</x:v>
      </x:c>
      <x:c r="D11" s="13" t="str">
        <x:v>rpm p/ Vtip cte</x:v>
      </x:c>
      <x:c r="E11" s="13" t="str">
        <x:v>KLa obtido h^-1</x:v>
      </x:c>
      <x:c r="F11" s="13" t="str">
        <x:v>rpm p/ KLa cte</x:v>
      </x:c>
      <x:c r="G11" s="13" t="str">
        <x:v>Vtip obtido cm/s</x:v>
      </x:c>
      <x:c r="H11" s="13" t="str">
        <x:v>P motor KLa kW</x:v>
      </x:c>
      <x:c r="J11" s="16" t="str">
        <x:f>Modelo!A4</x:f>
        <x:v>Bancada</x:v>
      </x:c>
      <x:c r="K11" s="16" t="n">
        <x:f>Modelo!P4/1000</x:f>
        <x:v>0.02267730094199449</x:v>
      </x:c>
      <x:c r="L11" s="16" t="n">
        <x:f>Modelo!AJ4</x:f>
        <x:v>0.022603689575827514</x:v>
      </x:c>
    </x:row>
    <x:row r="12">
      <x:c r="A12" s="16" t="str">
        <x:f>Modelo!A4</x:f>
        <x:v>Bancada</x:v>
      </x:c>
      <x:c r="B12" s="22" t="n">
        <x:f>Modelo!B4</x:f>
        <x:v>2</x:v>
      </x:c>
      <x:c r="C12" s="25" t="n">
        <x:f>Modelo!J4</x:f>
        <x:v>2.1999999999999997</x:v>
      </x:c>
      <x:c r="D12" s="25" t="n">
        <x:f>Modelo!M4</x:f>
        <x:v>264.9996650500437</x:v>
      </x:c>
      <x:c r="E12" s="25" t="n">
        <x:f>Modelo!T4</x:f>
        <x:v>25.48677980178597</x:v>
      </x:c>
      <x:c r="F12" s="25" t="n">
        <x:f>Modelo!X4</x:f>
        <x:v>264.7126213026863</x:v>
      </x:c>
      <x:c r="G12" s="25" t="n">
        <x:f>Modelo!Y4</x:f>
        <x:v>374.4739354867146</x:v>
      </x:c>
      <x:c r="H12" s="19" t="n">
        <x:f>Modelo!AJ4</x:f>
        <x:v>0.022603689575827514</x:v>
      </x:c>
      <x:c r="J12" s="16" t="str">
        <x:f>Modelo!A5</x:f>
        <x:v>Industrial 100 L</x:v>
      </x:c>
      <x:c r="K12" s="16" t="n">
        <x:f>Modelo!P5/1000</x:f>
        <x:v>0.26217726380294976</x:v>
      </x:c>
      <x:c r="L12" s="16" t="n">
        <x:f>Modelo!AJ5</x:f>
        <x:v>0.1749863029671389</x:v>
      </x:c>
    </x:row>
    <x:row r="13">
      <x:c r="A13" s="16" t="str">
        <x:f>Modelo!A5</x:f>
        <x:v>Industrial 100 L</x:v>
      </x:c>
      <x:c r="B13" s="22" t="n">
        <x:f>Modelo!B5</x:f>
        <x:v>100</x:v>
      </x:c>
      <x:c r="C13" s="25" t="n">
        <x:f>Modelo!J5</x:f>
        <x:v>110.00000000000001</x:v>
      </x:c>
      <x:c r="D13" s="25" t="n">
        <x:f>Modelo!M5</x:f>
        <x:v>77.93696568080252</x:v>
      </x:c>
      <x:c r="E13" s="25" t="n">
        <x:f>Modelo!T5</x:f>
        <x:v>30.162693594966324</x:v>
      </x:c>
      <x:c r="F13" s="25" t="n">
        <x:f>Modelo!X5</x:f>
        <x:v>68.11035905389548</x:v>
      </x:c>
      <x:c r="G13" s="25" t="n">
        <x:f>Modelo!Y5</x:f>
        <x:v>327.6136192766059</x:v>
      </x:c>
      <x:c r="H13" s="19" t="n">
        <x:f>Modelo!AJ5</x:f>
        <x:v>0.1749863029671389</x:v>
      </x:c>
      <x:c r="J13" s="16" t="str">
        <x:f>Modelo!A6</x:f>
        <x:v>Industrial 1.000 L</x:v>
      </x:c>
      <x:c r="K13" s="16" t="n">
        <x:f>Modelo!P6/1000</x:f>
        <x:v>1.2169190600949225</x:v>
      </x:c>
      <x:c r="L13" s="16" t="n">
        <x:f>Modelo!AJ6</x:f>
        <x:v>0.7017439204865056</x:v>
      </x:c>
    </x:row>
    <x:row r="14">
      <x:c r="A14" s="16" t="str">
        <x:f>Modelo!A6</x:f>
        <x:v>Industrial 1.000 L</x:v>
      </x:c>
      <x:c r="B14" s="22" t="n">
        <x:f>Modelo!B6</x:f>
        <x:v>1000</x:v>
      </x:c>
      <x:c r="C14" s="25" t="n">
        <x:f>Modelo!J6</x:f>
        <x:v>1100</x:v>
      </x:c>
      <x:c r="D14" s="25" t="n">
        <x:f>Modelo!M6</x:f>
        <x:v>36.17513496296754</x:v>
      </x:c>
      <x:c r="E14" s="25" t="n">
        <x:f>Modelo!T6</x:f>
        <x:v>32.07279357167771</x:v>
      </x:c>
      <x:c r="F14" s="25" t="n">
        <x:f>Modelo!X6</x:f>
        <x:v>30.11035079711972</x:v>
      </x:c>
      <x:c r="G14" s="25" t="n">
        <x:f>Modelo!Y6</x:f>
        <x:v>312.0311318362605</x:v>
      </x:c>
      <x:c r="H14" s="19" t="n">
        <x:f>Modelo!AJ6</x:f>
        <x:v>0.7017439204865056</x:v>
      </x:c>
      <x:c r="J14" s="16" t="str">
        <x:f>Modelo!A7</x:f>
        <x:v>Industrial 10.000 L</x:v>
      </x:c>
      <x:c r="K14" s="16" t="n">
        <x:f>Modelo!P7/1000</x:f>
        <x:v>5.6484379207471545</x:v>
      </x:c>
      <x:c r="L14" s="16" t="n">
        <x:f>Modelo!AJ7</x:f>
        <x:v>2.8141890055946166</x:v>
      </x:c>
    </x:row>
    <x:row r="15">
      <x:c r="A15" s="16" t="str">
        <x:f>Modelo!A7</x:f>
        <x:v>Industrial 10.000 L</x:v>
      </x:c>
      <x:c r="B15" s="22" t="n">
        <x:f>Modelo!B7</x:f>
        <x:v>10000</x:v>
      </x:c>
      <x:c r="C15" s="25" t="n">
        <x:f>Modelo!J7</x:f>
        <x:v>11000</x:v>
      </x:c>
      <x:c r="D15" s="25" t="n">
        <x:f>Modelo!M7</x:f>
        <x:v>16.791010249854533</x:v>
      </x:c>
      <x:c r="E15" s="25" t="n">
        <x:f>Modelo!T7</x:f>
        <x:v>34.103853631398444</x:v>
      </x:c>
      <x:c r="F15" s="25" t="n">
        <x:f>Modelo!X7</x:f>
        <x:v>13.311238374300629</x:v>
      </x:c>
      <x:c r="G15" s="25" t="n">
        <x:f>Modelo!Y7</x:f>
        <x:v>297.1898037999858</x:v>
      </x:c>
      <x:c r="H15" s="19" t="n">
        <x:f>Modelo!AJ7</x:f>
        <x:v>2.8141890055946166</x:v>
      </x:c>
    </x:row>
  </x:sheetData>
  <x:pageMargins left="0.7" right="0.7" top="0.75" bottom="0.75" header="0.3" footer="0.3"/>
  <x:drawing xmlns:r="http://schemas.openxmlformats.org/officeDocument/2006/relationships" r:id="R827580a6afbf4b0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1.110000610351562" hidden="0" customWidth="1"/>
    <x:col min="3" max="3" width="11.670000076293945" hidden="0" customWidth="1"/>
    <x:col min="4" max="4" width="9.4399995803833" hidden="0" customWidth="1"/>
    <x:col min="5" max="5" width="36.66999816894531" hidden="0" customWidth="1"/>
    <x:col min="6" max="6" width="13.329999923706055" hidden="0" customWidth="1"/>
  </x:cols>
  <x:sheetData>
    <x:row r="1" ht="25.5" customHeight="1">
      <x:c r="A1" s="4" t="str">
        <x:v>Modelo de scale-up STR para cultivo agitado de microrganismos</x:v>
      </x:c>
      <x:c r="B1" s="4" t="str"/>
      <x:c r="C1" s="4" t="str"/>
      <x:c r="D1" s="4" t="str"/>
      <x:c r="E1" s="4" t="str"/>
      <x:c r="F1" s="4" t="str"/>
    </x:row>
    <x:row r="3">
      <x:c r="A3" s="7" t="str">
        <x:v>Premissas editaveis</x:v>
      </x:c>
      <x:c r="B3" s="8" t="str"/>
      <x:c r="C3" s="8" t="str"/>
      <x:c r="D3" s="8" t="str"/>
      <x:c r="E3" s="8" t="str"/>
      <x:c r="F3" s="9" t="str"/>
    </x:row>
    <x:row r="4">
      <x:c r="A4" s="13" t="str">
        <x:v>Parametro</x:v>
      </x:c>
      <x:c r="B4" s="13" t="str">
        <x:v>Valor</x:v>
      </x:c>
      <x:c r="C4" s="13" t="str">
        <x:v>Unidade</x:v>
      </x:c>
      <x:c r="D4" s="13" t="str">
        <x:v>Fonte / uso</x:v>
      </x:c>
    </x:row>
    <x:row r="5">
      <x:c r="A5" s="16" t="str">
        <x:v>Aeracao especifica constante</x:v>
      </x:c>
      <x:c r="B5" s="17" t="n">
        <x:v>1.1</x:v>
      </x:c>
      <x:c r="C5" s="16" t="str">
        <x:v>VVM</x:v>
      </x:c>
      <x:c r="D5" s="16" t="str">
        <x:v>Tabela 4 da tese; altere se desejar outro setpoint</x:v>
      </x:c>
    </x:row>
    <x:row r="6">
      <x:c r="A6" s="16" t="str">
        <x:v>KLa alvo</x:v>
      </x:c>
      <x:c r="B6" s="18" t="n">
        <x:v>0.00707</x:v>
      </x:c>
      <x:c r="C6" s="16" t="str">
        <x:v>s^-1</x:v>
      </x:c>
      <x:c r="D6" s="16" t="str">
        <x:v>Tabela 8 / resumo RIUT</x:v>
      </x:c>
    </x:row>
    <x:row r="7">
      <x:c r="A7" s="16" t="str">
        <x:v>Vtip alvo</x:v>
      </x:c>
      <x:c r="B7" s="19" t="n">
        <x:v>374.88</x:v>
      </x:c>
      <x:c r="C7" s="16" t="str">
        <x:v>cm/s</x:v>
      </x:c>
      <x:c r="D7" s="16" t="str">
        <x:v>Tabela 8; proxy para cisalhamento</x:v>
      </x:c>
    </x:row>
    <x:row r="8">
      <x:c r="A8" s="16" t="str">
        <x:v>Densidade do caldo</x:v>
      </x:c>
      <x:c r="B8" s="19" t="n">
        <x:v>995.61</x:v>
      </x:c>
      <x:c r="C8" s="16" t="str">
        <x:v>kg/m3</x:v>
      </x:c>
      <x:c r="D8" s="16" t="str">
        <x:v>Agua a 30 C, Tabela 6</x:v>
      </x:c>
    </x:row>
    <x:row r="9">
      <x:c r="A9" s="16" t="str">
        <x:v>Viscosidade dinamica</x:v>
      </x:c>
      <x:c r="B9" s="20" t="n">
        <x:v>0.0007879</x:v>
      </x:c>
      <x:c r="C9" s="16" t="str">
        <x:v>kg/(m.s)</x:v>
      </x:c>
      <x:c r="D9" s="16" t="str">
        <x:v>Agua a 30 C, Tabela 6</x:v>
      </x:c>
    </x:row>
    <x:row r="10">
      <x:c r="A10" s="16" t="str">
        <x:v>O2 saturacao C*</x:v>
      </x:c>
      <x:c r="B10" s="21" t="n">
        <x:v>7.57</x:v>
      </x:c>
      <x:c r="C10" s="16" t="str">
        <x:v>mg/L</x:v>
      </x:c>
      <x:c r="D10" s="16" t="str">
        <x:v>Tabela 7</x:v>
      </x:c>
    </x:row>
    <x:row r="11">
      <x:c r="A11" s="16" t="str">
        <x:v>O2 dissolvido C</x:v>
      </x:c>
      <x:c r="B11" s="19" t="n">
        <x:v>2.27</x:v>
      </x:c>
      <x:c r="C11" s="16" t="str">
        <x:v>mg/L</x:v>
      </x:c>
      <x:c r="D11" s="16" t="str">
        <x:v>30% de C*, Tabela 7</x:v>
      </x:c>
    </x:row>
    <x:row r="12">
      <x:c r="A12" s="16" t="str">
        <x:v>Tempo de mistura ref.</x:v>
      </x:c>
      <x:c r="B12" s="19" t="n">
        <x:v>0.06</x:v>
      </x:c>
      <x:c r="C12" s="16" t="str">
        <x:v>s</x:v>
      </x:c>
      <x:c r="D12" s="16" t="str">
        <x:v>Tabela 8</x:v>
      </x:c>
    </x:row>
    <x:row r="13">
      <x:c r="A13" s="16" t="str">
        <x:v>HL/HT</x:v>
      </x:c>
      <x:c r="B13" s="19" t="n">
        <x:v>0.8</x:v>
      </x:c>
      <x:c r="C13" s="16" t="str">
        <x:v>-</x:v>
      </x:c>
      <x:c r="D13" s="16" t="str">
        <x:v>Tabela 5</x:v>
      </x:c>
    </x:row>
    <x:row r="14">
      <x:c r="A14" s="16" t="str">
        <x:v>HT/DT</x:v>
      </x:c>
      <x:c r="B14" s="19" t="n">
        <x:v>1.83</x:v>
      </x:c>
      <x:c r="C14" s="16" t="str">
        <x:v>-</x:v>
      </x:c>
      <x:c r="D14" s="16" t="str">
        <x:v>Tabela 5</x:v>
      </x:c>
    </x:row>
    <x:row r="15">
      <x:c r="A15" s="16" t="str">
        <x:v>Da/DT</x:v>
      </x:c>
      <x:c r="B15" s="19" t="n">
        <x:v>0.33</x:v>
      </x:c>
      <x:c r="C15" s="16" t="str">
        <x:v>-</x:v>
      </x:c>
      <x:c r="D15" s="16" t="str">
        <x:v>Tabela 5</x:v>
      </x:c>
    </x:row>
    <x:row r="16">
      <x:c r="A16" s="16" t="str">
        <x:v>Db/DT</x:v>
      </x:c>
      <x:c r="B16" s="19" t="n">
        <x:v>0.1</x:v>
      </x:c>
      <x:c r="C16" s="16" t="str">
        <x:v>-</x:v>
      </x:c>
      <x:c r="D16" s="16" t="str">
        <x:v>Tabela 5</x:v>
      </x:c>
    </x:row>
    <x:row r="17">
      <x:c r="A17" s="16" t="str">
        <x:v>Np impelidor Rushton</x:v>
      </x:c>
      <x:c r="B17" s="19" t="n">
        <x:v>5</x:v>
      </x:c>
      <x:c r="C17" s="16" t="str">
        <x:v>-</x:v>
      </x:c>
      <x:c r="D17" s="16" t="str">
        <x:v>Secao 4.2.2</x:v>
      </x:c>
    </x:row>
    <x:row r="18">
      <x:c r="A18" s="16" t="str">
        <x:v>Np impelidor orelha de elefante</x:v>
      </x:c>
      <x:c r="B18" s="19" t="n">
        <x:v>2.25</x:v>
      </x:c>
      <x:c r="C18" s="16" t="str">
        <x:v>-</x:v>
      </x:c>
      <x:c r="D18" s="16" t="str">
        <x:v>Secao 4.2.2</x:v>
      </x:c>
    </x:row>
    <x:row r="19">
      <x:c r="A19" s="16" t="str">
        <x:v>Np total</x:v>
      </x:c>
      <x:c r="B19" s="19" t="n">
        <x:f>B17+B18</x:f>
        <x:v>7.25</x:v>
      </x:c>
      <x:c r="C19" s="16" t="str">
        <x:v>-</x:v>
      </x:c>
      <x:c r="D19" s="16" t="str">
        <x:v>Soma dos impelidores</x:v>
      </x:c>
    </x:row>
    <x:row r="20">
      <x:c r="A20" s="16" t="str">
        <x:v>RPM bancada</x:v>
      </x:c>
      <x:c r="B20" s="22" t="n">
        <x:v>265</x:v>
      </x:c>
      <x:c r="C20" s="16" t="str">
        <x:v>rpm</x:v>
      </x:c>
      <x:c r="D20" s="16" t="str">
        <x:v>Tabela 4</x:v>
      </x:c>
    </x:row>
    <x:row r="21">
      <x:c r="A21" s="16" t="str">
        <x:v>N bancada, modo tese</x:v>
      </x:c>
      <x:c r="B21" s="19" t="n">
        <x:f>2*PI()*B20/60</x:f>
        <x:v>27.75073510670984</x:v>
      </x:c>
      <x:c r="C21" s="16" t="str">
        <x:v>rad/s usado como RPS</x:v>
      </x:c>
      <x:c r="D21" s="16" t="str">
        <x:v>N = 2*PI()*rpm/60</x:v>
      </x:c>
    </x:row>
    <x:row r="22">
      <x:c r="A22" s="16" t="str">
        <x:v>Volume util bancada</x:v>
      </x:c>
      <x:c r="B22" s="17" t="n">
        <x:v>2</x:v>
      </x:c>
      <x:c r="C22" s="16" t="str">
        <x:v>L</x:v>
      </x:c>
      <x:c r="D22" s="16" t="str">
        <x:v>Tabela 4</x:v>
      </x:c>
    </x:row>
    <x:row r="23">
      <x:c r="A23" s="16" t="str">
        <x:v>DT bancada</x:v>
      </x:c>
      <x:c r="B23" s="17" t="n">
        <x:v>0.127</x:v>
      </x:c>
      <x:c r="C23" s="16" t="str">
        <x:v>m</x:v>
      </x:c>
      <x:c r="D23" s="16" t="str">
        <x:v>Tabela 4</x:v>
      </x:c>
    </x:row>
    <x:row r="24">
      <x:c r="A24" s="16" t="str">
        <x:v>HT bancada</x:v>
      </x:c>
      <x:c r="B24" s="17" t="n">
        <x:v>0.233</x:v>
      </x:c>
      <x:c r="C24" s="16" t="str">
        <x:v>m</x:v>
      </x:c>
      <x:c r="D24" s="16" t="str">
        <x:v>Tabela 4</x:v>
      </x:c>
    </x:row>
    <x:row r="25">
      <x:c r="A25" s="16" t="str">
        <x:v>HL bancada</x:v>
      </x:c>
      <x:c r="B25" s="17" t="n">
        <x:v>0.187</x:v>
      </x:c>
      <x:c r="C25" s="16" t="str">
        <x:v>m</x:v>
      </x:c>
      <x:c r="D25" s="16" t="str">
        <x:v>Tabela 4</x:v>
      </x:c>
    </x:row>
    <x:row r="26">
      <x:c r="A26" s="16" t="str">
        <x:v>Da bancada</x:v>
      </x:c>
      <x:c r="B26" s="20" t="n">
        <x:v>0.043</x:v>
      </x:c>
      <x:c r="C26" s="16" t="str">
        <x:v>m</x:v>
      </x:c>
      <x:c r="D26" s="16" t="str">
        <x:v>Tabela 4</x:v>
      </x:c>
    </x:row>
    <x:row r="27">
      <x:c r="A27" s="16" t="str">
        <x:v>Db bancada</x:v>
      </x:c>
      <x:c r="B27" s="23" t="n">
        <x:v>0.0129</x:v>
      </x:c>
      <x:c r="C27" s="16" t="str">
        <x:v>m</x:v>
      </x:c>
      <x:c r="D27" s="16" t="str">
        <x:v>Tabela 4</x:v>
      </x:c>
    </x:row>
    <x:row r="28">
      <x:c r="A28" s="16" t="str">
        <x:v>Nota de unidades</x:v>
      </x:c>
      <x:c r="B28" s="23" t="str">
        <x:v>N segue a convencao da tese</x:v>
      </x:c>
      <x:c r="C28" s="16" t="str"/>
      <x:c r="D28" s="16" t="str">
        <x:v>A planilha tambem reporta rpm operacional</x:v>
      </x:c>
    </x:row>
    <x:row r="29">
      <x:c r="A29" s="16" t="str">
        <x:v>Interpretacao do ultimo estagio</x:v>
      </x:c>
      <x:c r="B29" s="16" t="str">
        <x:v>10.000 L</x:v>
      </x:c>
      <x:c r="C29" s="16" t="str"/>
      <x:c r="D29" s="16" t="str">
        <x:v>Altere a tabela de escalas caso o alvo fosse repetir 1.000 L</x:v>
      </x:c>
    </x:row>
    <x:row r="31">
      <x:c r="A31" s="7" t="str">
        <x:v>Escalas simuladas</x:v>
      </x:c>
      <x:c r="B31" s="8" t="str"/>
      <x:c r="C31" s="8" t="str"/>
      <x:c r="D31" s="8" t="str"/>
      <x:c r="E31" s="8" t="str"/>
      <x:c r="F31" s="9" t="str"/>
    </x:row>
    <x:row r="32">
      <x:c r="A32" s="13" t="str">
        <x:v>Ordem</x:v>
      </x:c>
      <x:c r="B32" s="13" t="str">
        <x:v>Escala</x:v>
      </x:c>
      <x:c r="C32" s="13" t="str">
        <x:v>Volume util</x:v>
      </x:c>
      <x:c r="D32" s="13" t="str">
        <x:v>Unidade</x:v>
      </x:c>
      <x:c r="E32" s="13" t="str">
        <x:v>Observacao</x:v>
      </x:c>
    </x:row>
    <x:row r="33">
      <x:c r="A33" s="16" t="n">
        <x:v>1</x:v>
      </x:c>
      <x:c r="B33" s="16" t="str">
        <x:v>Bancada</x:v>
      </x:c>
      <x:c r="C33" s="22" t="n">
        <x:v>2</x:v>
      </x:c>
      <x:c r="D33" s="16" t="str">
        <x:v>L</x:v>
      </x:c>
      <x:c r="E33" s="16" t="str">
        <x:v>Parametros originais da tese</x:v>
      </x:c>
    </x:row>
    <x:row r="34">
      <x:c r="A34" s="16" t="n">
        <x:v>2</x:v>
      </x:c>
      <x:c r="B34" s="16" t="str">
        <x:v>Industrial 100 L</x:v>
      </x:c>
      <x:c r="C34" s="22" t="n">
        <x:v>100</x:v>
      </x:c>
      <x:c r="D34" s="16" t="str">
        <x:v>L</x:v>
      </x:c>
      <x:c r="E34" s="16" t="str">
        <x:v>Geometria por similaridade</x:v>
      </x:c>
    </x:row>
    <x:row r="35">
      <x:c r="A35" s="16" t="n">
        <x:v>3</x:v>
      </x:c>
      <x:c r="B35" s="16" t="str">
        <x:v>Industrial 1.000 L</x:v>
      </x:c>
      <x:c r="C35" s="22" t="n">
        <x:v>1000</x:v>
      </x:c>
      <x:c r="D35" s="16" t="str">
        <x:v>L</x:v>
      </x:c>
      <x:c r="E35" s="16" t="str">
        <x:v>Geometria por similaridade</x:v>
      </x:c>
    </x:row>
    <x:row r="36">
      <x:c r="A36" s="16" t="n">
        <x:v>4</x:v>
      </x:c>
      <x:c r="B36" s="16" t="str">
        <x:v>Industrial 10.000 L</x:v>
      </x:c>
      <x:c r="C36" s="22" t="n">
        <x:v>10000</x:v>
      </x:c>
      <x:c r="D36" s="16" t="str">
        <x:v>L</x:v>
      </x:c>
      <x:c r="E36" s="16" t="str">
        <x:v>Editavel; incluido para resolver duplicidade textual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9.4399995803833" hidden="0" customWidth="1"/>
    <x:col min="3" max="3" width="9.4399995803833" hidden="0" customWidth="1"/>
    <x:col min="4" max="4" width="8.329999923706055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10.5600004196167" hidden="0" customWidth="1"/>
    <x:col min="10" max="10" width="10.5600004196167" hidden="0" customWidth="1"/>
    <x:col min="11" max="11" width="9.4399995803833" hidden="0" customWidth="1"/>
    <x:col min="12" max="12" width="8.329999923706055" hidden="0" customWidth="1"/>
    <x:col min="13" max="13" width="9.4399995803833" hidden="0" customWidth="1"/>
    <x:col min="14" max="14" width="10.5600004196167" hidden="0" customWidth="1"/>
    <x:col min="15" max="15" width="11.670000076293945" hidden="0" customWidth="1"/>
    <x:col min="16" max="16" width="10.5600004196167" hidden="0" customWidth="1"/>
    <x:col min="17" max="17" width="12.779999732971191" hidden="0" customWidth="1"/>
    <x:col min="18" max="18" width="10" hidden="0" customWidth="1"/>
    <x:col min="19" max="19" width="11.670000076293945" hidden="0" customWidth="1"/>
    <x:col min="20" max="20" width="11.670000076293945" hidden="0" customWidth="1"/>
    <x:col min="21" max="21" width="12.220000267028809" hidden="0" customWidth="1"/>
    <x:col min="22" max="22" width="8.890000343322754" hidden="0" customWidth="1"/>
    <x:col min="23" max="23" width="8.329999923706055" hidden="0" customWidth="1"/>
    <x:col min="24" max="24" width="9.4399995803833" hidden="0" customWidth="1"/>
    <x:col min="25" max="25" width="11.670000076293945" hidden="0" customWidth="1"/>
    <x:col min="26" max="26" width="11.670000076293945" hidden="0" customWidth="1"/>
    <x:col min="27" max="27" width="10.5600004196167" hidden="0" customWidth="1"/>
    <x:col min="28" max="28" width="12.779999732971191" hidden="0" customWidth="1"/>
    <x:col min="29" max="29" width="10" hidden="0" customWidth="1"/>
    <x:col min="30" max="30" width="11.670000076293945" hidden="0" customWidth="1"/>
    <x:col min="31" max="31" width="11.670000076293945" hidden="0" customWidth="1"/>
    <x:col min="32" max="32" width="12.220000267028809" hidden="0" customWidth="1"/>
    <x:col min="33" max="33" width="8.890000343322754" hidden="0" customWidth="1"/>
    <x:col min="34" max="34" width="11.670000076293945" hidden="0" customWidth="1"/>
    <x:col min="35" max="35" width="11.670000076293945" hidden="0" customWidth="1"/>
    <x:col min="36" max="36" width="9.4399995803833" hidden="0" customWidth="1"/>
  </x:cols>
  <x:sheetData>
    <x:row r="1" ht="25.5" customHeight="1">
      <x:c r="A1" s="4" t="str">
        <x:v>Calculos de scale-up: Vtip constante vs KLa constante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  <x:c r="AA1" s="4" t="str"/>
      <x:c r="AB1" s="4" t="str"/>
      <x:c r="AC1" s="4" t="str"/>
      <x:c r="AD1" s="4" t="str"/>
      <x:c r="AE1" s="4" t="str"/>
      <x:c r="AF1" s="4" t="str"/>
      <x:c r="AG1" s="4" t="str"/>
      <x:c r="AH1" s="4" t="str"/>
      <x:c r="AI1" s="4" t="str"/>
      <x:c r="AJ1" s="4" t="str"/>
    </x:row>
    <x:row r="3">
      <x:c r="A3" s="13" t="str">
        <x:v>Escala</x:v>
      </x:c>
      <x:c r="B3" s="13" t="str">
        <x:v>V util L</x:v>
      </x:c>
      <x:c r="C3" s="13" t="str">
        <x:v>V util m3</x:v>
      </x:c>
      <x:c r="D3" s="13" t="str">
        <x:v>DT m</x:v>
      </x:c>
      <x:c r="E3" s="13" t="str">
        <x:v>HT m</x:v>
      </x:c>
      <x:c r="F3" s="13" t="str">
        <x:v>HL m</x:v>
      </x:c>
      <x:c r="G3" s="13" t="str">
        <x:v>Da m</x:v>
      </x:c>
      <x:c r="H3" s="13" t="str">
        <x:v>Db m</x:v>
      </x:c>
      <x:c r="I3" s="13" t="str">
        <x:v>Q ar m3/s</x:v>
      </x:c>
      <x:c r="J3" s="13" t="str">
        <x:v>Q ar L/min</x:v>
      </x:c>
      <x:c r="K3" s="13" t="str">
        <x:v>Vs m/s</x:v>
      </x:c>
      <x:c r="L3" s="13" t="str">
        <x:v>N Vtip</x:v>
      </x:c>
      <x:c r="M3" s="13" t="str">
        <x:v>rpm Vtip</x:v>
      </x:c>
      <x:c r="N3" s="13" t="str">
        <x:v>Vtip cm/s</x:v>
      </x:c>
      <x:c r="O3" s="13" t="str">
        <x:v>Nre Vtip</x:v>
      </x:c>
      <x:c r="P3" s="13" t="str">
        <x:v>P Vtip W</x:v>
      </x:c>
      <x:c r="Q3" s="13" t="str">
        <x:v>P/V Vtip W/m3</x:v>
      </x:c>
      <x:c r="R3" s="13" t="str">
        <x:v>Pg/V tese</x:v>
      </x:c>
      <x:c r="S3" s="13" t="str">
        <x:v>KLa Vtip s^-1</x:v>
      </x:c>
      <x:c r="T3" s="13" t="str">
        <x:v>KLa Vtip h^-1</x:v>
      </x:c>
      <x:c r="U3" s="13" t="str">
        <x:v>OTR Vtip mg/L/s</x:v>
      </x:c>
      <x:c r="V3" s="13" t="str">
        <x:v>Tm Vtip</x:v>
      </x:c>
      <x:c r="W3" s="13" t="str">
        <x:v>N KLa</x:v>
      </x:c>
      <x:c r="X3" s="13" t="str">
        <x:v>rpm KLa</x:v>
      </x:c>
      <x:c r="Y3" s="13" t="str">
        <x:v>Vtip KLa cm/s</x:v>
      </x:c>
      <x:c r="Z3" s="13" t="str">
        <x:v>Nre KLa</x:v>
      </x:c>
      <x:c r="AA3" s="13" t="str">
        <x:v>P KLa W</x:v>
      </x:c>
      <x:c r="AB3" s="13" t="str">
        <x:v>P/V KLa W/m3</x:v>
      </x:c>
      <x:c r="AC3" s="13" t="str">
        <x:v>Pg/V KLa</x:v>
      </x:c>
      <x:c r="AD3" s="13" t="str">
        <x:v>KLa KLa s^-1</x:v>
      </x:c>
      <x:c r="AE3" s="13" t="str">
        <x:v>KLa KLa h^-1</x:v>
      </x:c>
      <x:c r="AF3" s="13" t="str">
        <x:v>OTR KLa mg/L/s</x:v>
      </x:c>
      <x:c r="AG3" s="13" t="str">
        <x:v>Tm KLa</x:v>
      </x:c>
      <x:c r="AH3" s="13" t="str">
        <x:v>Status Vtip</x:v>
      </x:c>
      <x:c r="AI3" s="13" t="str">
        <x:v>Status KLa</x:v>
      </x:c>
      <x:c r="AJ3" s="13" t="str">
        <x:v>P KLa kW</x:v>
      </x:c>
    </x:row>
    <x:row r="4">
      <x:c r="A4" s="27" t="str">
        <x:f>Inputs!B33</x:f>
        <x:v>Bancada</x:v>
      </x:c>
      <x:c r="B4" s="22" t="n">
        <x:f>Inputs!C33</x:f>
        <x:v>2</x:v>
      </x:c>
      <x:c r="C4" s="20" t="n">
        <x:f>B4/1000</x:f>
        <x:v>0.002</x:v>
      </x:c>
      <x:c r="D4" s="17" t="n">
        <x:f>Inputs!$B$23</x:f>
        <x:v>0.127</x:v>
      </x:c>
      <x:c r="E4" s="17" t="n">
        <x:f>Inputs!$B$24</x:f>
        <x:v>0.233</x:v>
      </x:c>
      <x:c r="F4" s="17" t="n">
        <x:f>Inputs!$B$25</x:f>
        <x:v>0.187</x:v>
      </x:c>
      <x:c r="G4" s="17" t="n">
        <x:f>Inputs!$B$26</x:f>
        <x:v>0.043</x:v>
      </x:c>
      <x:c r="H4" s="17" t="n">
        <x:f>Inputs!$B$27</x:f>
        <x:v>0.0129</x:v>
      </x:c>
      <x:c r="I4" s="24" t="n">
        <x:f>C4*Inputs!$B$5/60</x:f>
        <x:v>0.000036666666666666666</x:v>
      </x:c>
      <x:c r="J4" s="25" t="n">
        <x:f>I4*60000</x:f>
        <x:v>2.1999999999999997</x:v>
      </x:c>
      <x:c r="K4" s="26" t="n">
        <x:f>4*I4/(PI()*D4^2)</x:f>
        <x:v>0.0028945036873719776</x:v>
      </x:c>
      <x:c r="L4" s="19" t="n">
        <x:f>(Inputs!$B$7/100)/(PI()*G4)</x:f>
        <x:v>27.750700030832437</x:v>
      </x:c>
      <x:c r="M4" s="25" t="n">
        <x:f>L4*60/(2*PI())</x:f>
        <x:v>264.9996650500437</x:v>
      </x:c>
      <x:c r="N4" s="25" t="n">
        <x:f>PI()*G4*L4*100</x:f>
        <x:v>374.88</x:v>
      </x:c>
      <x:c r="O4" s="24" t="n">
        <x:f>Inputs!$B$8*L4*G4^2/Inputs!$B$9</x:f>
        <x:v>64837.9094711028</x:v>
      </x:c>
      <x:c r="P4" s="25" t="n">
        <x:f>Inputs!$B$19*Inputs!$B$8*POWER(L4,3)*POWER(G4,5)</x:f>
        <x:v>22.677300941994492</x:v>
      </x:c>
      <x:c r="Q4" s="24" t="n">
        <x:f>P4/C4</x:f>
        <x:v>11338.650470997245</x:v>
      </x:c>
      <x:c r="R4" s="19" t="n">
        <x:f>POWER(L4,3.15)*POWER(G4,2.85)/POWER(I4,0.25)</x:f>
        <x:v>57.627550659040715</x:v>
      </x:c>
      <x:c r="S4" s="26" t="n">
        <x:f>0.026*POWER(R4,0.4)*POWER(K4,0.5)</x:f>
        <x:v>0.007079661056051658</x:v>
      </x:c>
      <x:c r="T4" s="25" t="n">
        <x:f>S4*3600</x:f>
        <x:v>25.48677980178597</x:v>
      </x:c>
      <x:c r="U4" s="20" t="n">
        <x:f>S4*(Inputs!$B$10-Inputs!$B$11)</x:f>
        <x:v>0.03752220359707379</x:v>
      </x:c>
      <x:c r="V4" s="19" t="n">
        <x:f>Inputs!$B$12*POWER((G4/POWER(L4,4))/(Inputs!$B$26/POWER(Inputs!$B$21,4)),1/6)</x:f>
        <x:v>0.06000005055853722</x:v>
      </x:c>
      <x:c r="W4" s="19" t="n">
        <x:f>POWER((POWER(Inputs!$B$6/(0.026*POWER(K4,0.5)),1/0.4)*POWER(I4,0.25))/POWER(G4,2.85),1/3.15)</x:f>
        <x:v>27.72064087990054</x:v>
      </x:c>
      <x:c r="X4" s="25" t="n">
        <x:f>W4*60/(2*PI())</x:f>
        <x:v>264.7126213026863</x:v>
      </x:c>
      <x:c r="Y4" s="25" t="n">
        <x:f>PI()*G4*W4*100</x:f>
        <x:v>374.4739354867146</x:v>
      </x:c>
      <x:c r="Z4" s="24" t="n">
        <x:f>Inputs!$B$8*W4*G4^2/Inputs!$B$9</x:f>
        <x:v>64767.67799929362</x:v>
      </x:c>
      <x:c r="AA4" s="25" t="n">
        <x:f>Inputs!$B$19*Inputs!$B$8*POWER(W4,3)*POWER(G4,5)</x:f>
        <x:v>22.603689575827513</x:v>
      </x:c>
      <x:c r="AB4" s="24" t="n">
        <x:f>AA4/C4</x:f>
        <x:v>11301.844787913757</x:v>
      </x:c>
      <x:c r="AC4" s="19" t="n">
        <x:f>POWER(W4,3.15)*POWER(G4,2.85)/POWER(I4,0.25)</x:f>
        <x:v>57.43115237289761</x:v>
      </x:c>
      <x:c r="AD4" s="26" t="n">
        <x:f>0.026*POWER(AC4,0.4)*POWER(K4,0.5)</x:f>
        <x:v>0.007069999999999999</x:v>
      </x:c>
      <x:c r="AE4" s="25" t="n">
        <x:f>AD4*3600</x:f>
        <x:v>25.451999999999998</x:v>
      </x:c>
      <x:c r="AF4" s="20" t="n">
        <x:f>AD4*(Inputs!$B$10-Inputs!$B$11)</x:f>
        <x:v>0.037471</x:v>
      </x:c>
      <x:c r="AG4" s="19" t="n">
        <x:f>Inputs!$B$12*POWER((G4/POWER(W4,4))/(Inputs!$B$26/POWER(Inputs!$B$21,4)),1/6)</x:f>
        <x:v>0.06004341715531041</x:v>
      </x:c>
      <x:c r="AH4" s="23" t="str">
        <x:f>IF(AND(Y4&gt;=250,Y4&lt;=500),"OK 250-500","rever Vtip")</x:f>
        <x:v>OK 250-500</x:v>
      </x:c>
      <x:c r="AI4" s="23" t="str">
        <x:f>IF(AND(AE4&gt;=18,AE4&lt;=35),"OK 18-35","rever KLa")</x:f>
        <x:v>OK 18-35</x:v>
      </x:c>
      <x:c r="AJ4" s="19" t="n">
        <x:f>AA4/1000</x:f>
        <x:v>0.022603689575827514</x:v>
      </x:c>
    </x:row>
    <x:row r="5">
      <x:c r="A5" s="27" t="str">
        <x:f>Inputs!B34</x:f>
        <x:v>Industrial 100 L</x:v>
      </x:c>
      <x:c r="B5" s="22" t="n">
        <x:f>Inputs!C34</x:f>
        <x:v>100</x:v>
      </x:c>
      <x:c r="C5" s="20" t="n">
        <x:f>B5/1000</x:f>
        <x:v>0.1</x:v>
      </x:c>
      <x:c r="D5" s="17" t="n">
        <x:f>POWER((4*C5)/(PI()*Inputs!$B$13*Inputs!$B$14),1/3)</x:f>
        <x:v>0.44305367913257404</x:v>
      </x:c>
      <x:c r="E5" s="17" t="n">
        <x:f>Inputs!$B$14*D5</x:f>
        <x:v>0.8107882328126105</x:v>
      </x:c>
      <x:c r="F5" s="17" t="n">
        <x:f>Inputs!$B$13*E5</x:f>
        <x:v>0.6486305862500884</x:v>
      </x:c>
      <x:c r="G5" s="17" t="n">
        <x:f>Inputs!$B$15*D5</x:f>
        <x:v>0.14620771411374944</x:v>
      </x:c>
      <x:c r="H5" s="17" t="n">
        <x:f>Inputs!$B$16*D5</x:f>
        <x:v>0.044305367913257405</x:v>
      </x:c>
      <x:c r="I5" s="24" t="n">
        <x:f>C5*Inputs!$B$5/60</x:f>
        <x:v>0.0018333333333333335</x:v>
      </x:c>
      <x:c r="J5" s="25" t="n">
        <x:f>I5*60000</x:f>
        <x:v>110.00000000000001</x:v>
      </x:c>
      <x:c r="K5" s="26" t="n">
        <x:f>4*I5/(PI()*D5^2)</x:f>
        <x:v>0.011891560747918285</x:v>
      </x:c>
      <x:c r="L5" s="19" t="n">
        <x:f>(Inputs!$B$7/100)/(PI()*G5)</x:f>
        <x:v>8.161539960862967</x:v>
      </x:c>
      <x:c r="M5" s="25" t="n">
        <x:f>L5*60/(2*PI())</x:f>
        <x:v>77.93696568080252</x:v>
      </x:c>
      <x:c r="N5" s="25" t="n">
        <x:f>PI()*G5*L5*100</x:f>
        <x:v>374.88</x:v>
      </x:c>
      <x:c r="O5" s="24" t="n">
        <x:f>Inputs!$B$8*L5*G5^2/Inputs!$B$9</x:f>
        <x:v>220460.523992655</x:v>
      </x:c>
      <x:c r="P5" s="25" t="n">
        <x:f>Inputs!$B$19*Inputs!$B$8*POWER(L5,3)*POWER(G5,5)</x:f>
        <x:v>262.17726380294977</x:v>
      </x:c>
      <x:c r="Q5" s="24" t="n">
        <x:f>P5/C5</x:f>
        <x:v>2621.7726380294976</x:v>
      </x:c>
      <x:c r="R5" s="19" t="n">
        <x:f>POWER(L5,3.15)*POWER(G5,2.85)/POWER(I5,0.25)</x:f>
        <x:v>15.011950047160909</x:v>
      </x:c>
      <x:c r="S5" s="26" t="n">
        <x:f>0.026*POWER(R5,0.4)*POWER(K5,0.5)</x:f>
        <x:v>0.008378525998601756</x:v>
      </x:c>
      <x:c r="T5" s="25" t="n">
        <x:f>S5*3600</x:f>
        <x:v>30.162693594966324</x:v>
      </x:c>
      <x:c r="U5" s="20" t="n">
        <x:f>S5*(Inputs!$B$10-Inputs!$B$11)</x:f>
        <x:v>0.04440618779258931</x:v>
      </x:c>
      <x:c r="V5" s="19" t="n">
        <x:f>Inputs!$B$12*POWER((G5/POWER(L5,4))/(Inputs!$B$26/POWER(Inputs!$B$21,4)),1/6)</x:f>
        <x:v>0.16636800520473213</x:v>
      </x:c>
      <x:c r="W5" s="19" t="n">
        <x:f>POWER((POWER(Inputs!$B$6/(0.026*POWER(K5,0.5)),1/0.4)*POWER(I5,0.25))/POWER(G5,2.85),1/3.15)</x:f>
        <x:v>7.132500121236036</x:v>
      </x:c>
      <x:c r="X5" s="25" t="n">
        <x:f>W5*60/(2*PI())</x:f>
        <x:v>68.11035905389548</x:v>
      </x:c>
      <x:c r="Y5" s="25" t="n">
        <x:f>PI()*G5*W5*100</x:f>
        <x:v>327.6136192766059</x:v>
      </x:c>
      <x:c r="Z5" s="24" t="n">
        <x:f>Inputs!$B$8*W5*G5^2/Inputs!$B$9</x:f>
        <x:v>192663.97293227358</x:v>
      </x:c>
      <x:c r="AA5" s="25" t="n">
        <x:f>Inputs!$B$19*Inputs!$B$8*POWER(W5,3)*POWER(G5,5)</x:f>
        <x:v>174.9863029671389</x:v>
      </x:c>
      <x:c r="AB5" s="24" t="n">
        <x:f>AA5/C5</x:f>
        <x:v>1749.8630296713889</x:v>
      </x:c>
      <x:c r="AC5" s="19" t="n">
        <x:f>POWER(W5,3.15)*POWER(G5,2.85)/POWER(I5,0.25)</x:f>
        <x:v>9.818984875361927</x:v>
      </x:c>
      <x:c r="AD5" s="26" t="n">
        <x:f>0.026*POWER(AC5,0.4)*POWER(K5,0.5)</x:f>
        <x:v>0.007069999999999999</x:v>
      </x:c>
      <x:c r="AE5" s="25" t="n">
        <x:f>AD5*3600</x:f>
        <x:v>25.451999999999998</x:v>
      </x:c>
      <x:c r="AF5" s="20" t="n">
        <x:f>AD5*(Inputs!$B$10-Inputs!$B$11)</x:f>
        <x:v>0.037471</x:v>
      </x:c>
      <x:c r="AG5" s="19" t="n">
        <x:f>Inputs!$B$12*POWER((G5/POWER(W5,4))/(Inputs!$B$26/POWER(Inputs!$B$21,4)),1/6)</x:f>
        <x:v>0.18200781043972009</x:v>
      </x:c>
      <x:c r="AH5" s="23" t="str">
        <x:f>IF(AND(Y5&gt;=250,Y5&lt;=500),"OK 250-500","rever Vtip")</x:f>
        <x:v>OK 250-500</x:v>
      </x:c>
      <x:c r="AI5" s="23" t="str">
        <x:f>IF(AND(AE5&gt;=18,AE5&lt;=35),"OK 18-35","rever KLa")</x:f>
        <x:v>OK 18-35</x:v>
      </x:c>
      <x:c r="AJ5" s="19" t="n">
        <x:f>AA5/1000</x:f>
        <x:v>0.1749863029671389</x:v>
      </x:c>
    </x:row>
    <x:row r="6">
      <x:c r="A6" s="27" t="str">
        <x:f>Inputs!B35</x:f>
        <x:v>Industrial 1.000 L</x:v>
      </x:c>
      <x:c r="B6" s="22" t="n">
        <x:f>Inputs!C35</x:f>
        <x:v>1000</x:v>
      </x:c>
      <x:c r="C6" s="20" t="n">
        <x:f>B6/1000</x:f>
        <x:v>1</x:v>
      </x:c>
      <x:c r="D6" s="17" t="n">
        <x:f>POWER((4*C6)/(PI()*Inputs!$B$13*Inputs!$B$14),1/3)</x:f>
        <x:v>0.9545302158694727</x:v>
      </x:c>
      <x:c r="E6" s="17" t="n">
        <x:f>Inputs!$B$14*D6</x:f>
        <x:v>1.7467902950411351</x:v>
      </x:c>
      <x:c r="F6" s="17" t="n">
        <x:f>Inputs!$B$13*E6</x:f>
        <x:v>1.3974322360329081</x:v>
      </x:c>
      <x:c r="G6" s="17" t="n">
        <x:f>Inputs!$B$15*D6</x:f>
        <x:v>0.314994971236926</x:v>
      </x:c>
      <x:c r="H6" s="17" t="n">
        <x:f>Inputs!$B$16*D6</x:f>
        <x:v>0.09545302158694728</x:v>
      </x:c>
      <x:c r="I6" s="24" t="n">
        <x:f>C6*Inputs!$B$5/60</x:f>
        <x:v>0.018333333333333333</x:v>
      </x:c>
      <x:c r="J6" s="25" t="n">
        <x:f>I6*60000</x:f>
        <x:v>1100</x:v>
      </x:c>
      <x:c r="K6" s="26" t="n">
        <x:f>4*I6/(PI()*D6^2)</x:f>
        <x:v>0.025619590993936646</x:v>
      </x:c>
      <x:c r="L6" s="19" t="n">
        <x:f>(Inputs!$B$7/100)/(PI()*G6)</x:f>
        <x:v>3.788251274742603</x:v>
      </x:c>
      <x:c r="M6" s="25" t="n">
        <x:f>L6*60/(2*PI())</x:f>
        <x:v>36.17513496296754</x:v>
      </x:c>
      <x:c r="N6" s="25" t="n">
        <x:f>PI()*G6*L6*100</x:f>
        <x:v>374.88</x:v>
      </x:c>
      <x:c r="O6" s="24" t="n">
        <x:f>Inputs!$B$8*L6*G6^2/Inputs!$B$9</x:f>
        <x:v>474967.80067238223</x:v>
      </x:c>
      <x:c r="P6" s="25" t="n">
        <x:f>Inputs!$B$19*Inputs!$B$8*POWER(L6,3)*POWER(G6,5)</x:f>
        <x:v>1216.9190600949225</x:v>
      </x:c>
      <x:c r="Q6" s="24" t="n">
        <x:f>P6/C6</x:f>
        <x:v>1216.9190600949225</x:v>
      </x:c>
      <x:c r="R6" s="19" t="n">
        <x:f>POWER(L6,3.15)*POWER(G6,2.85)/POWER(I6,0.25)</x:f>
        <x:v>6.705591772256654</x:v>
      </x:c>
      <x:c r="S6" s="26" t="n">
        <x:f>0.026*POWER(R6,0.4)*POWER(K6,0.5)</x:f>
        <x:v>0.00890910932546603</x:v>
      </x:c>
      <x:c r="T6" s="25" t="n">
        <x:f>S6*3600</x:f>
        <x:v>32.07279357167771</x:v>
      </x:c>
      <x:c r="U6" s="20" t="n">
        <x:f>S6*(Inputs!$B$10-Inputs!$B$11)</x:f>
        <x:v>0.047218279424969964</x:v>
      </x:c>
      <x:c r="V6" s="19" t="n">
        <x:f>Inputs!$B$12*POWER((G6/POWER(L6,4))/(Inputs!$B$26/POWER(Inputs!$B$21,4)),1/6)</x:f>
        <x:v>0.3153897588863402</x:v>
      </x:c>
      <x:c r="W6" s="19" t="n">
        <x:f>POWER((POWER(Inputs!$B$6/(0.026*POWER(K6,0.5)),1/0.4)*POWER(I6,0.25))/POWER(G6,2.85),1/3.15)</x:f>
        <x:v>3.1531485620414297</x:v>
      </x:c>
      <x:c r="X6" s="25" t="n">
        <x:f>W6*60/(2*PI())</x:f>
        <x:v>30.11035079711972</x:v>
      </x:c>
      <x:c r="Y6" s="25" t="n">
        <x:f>PI()*G6*W6*100</x:f>
        <x:v>312.0311318362605</x:v>
      </x:c>
      <x:c r="Z6" s="24" t="n">
        <x:f>Inputs!$B$8*W6*G6^2/Inputs!$B$9</x:f>
        <x:v>395339.14967344963</x:v>
      </x:c>
      <x:c r="AA6" s="25" t="n">
        <x:f>Inputs!$B$19*Inputs!$B$8*POWER(W6,3)*POWER(G6,5)</x:f>
        <x:v>701.7439204865055</x:v>
      </x:c>
      <x:c r="AB6" s="24" t="n">
        <x:f>AA6/C6</x:f>
        <x:v>701.7439204865055</x:v>
      </x:c>
      <x:c r="AC6" s="19" t="n">
        <x:f>POWER(W6,3.15)*POWER(G6,2.85)/POWER(I6,0.25)</x:f>
        <x:v>3.7618365730488543</x:v>
      </x:c>
      <x:c r="AD6" s="26" t="n">
        <x:f>0.026*POWER(AC6,0.4)*POWER(K6,0.5)</x:f>
        <x:v>0.007070000000000001</x:v>
      </x:c>
      <x:c r="AE6" s="25" t="n">
        <x:f>AD6*3600</x:f>
        <x:v>25.452</x:v>
      </x:c>
      <x:c r="AF6" s="20" t="n">
        <x:f>AD6*(Inputs!$B$10-Inputs!$B$11)</x:f>
        <x:v>0.03747100000000001</x:v>
      </x:c>
      <x:c r="AG6" s="19" t="n">
        <x:f>Inputs!$B$12*POWER((G6/POWER(W6,4))/(Inputs!$B$26/POWER(Inputs!$B$21,4)),1/6)</x:f>
        <x:v>0.3564323798522608</x:v>
      </x:c>
      <x:c r="AH6" s="23" t="str">
        <x:f>IF(AND(Y6&gt;=250,Y6&lt;=500),"OK 250-500","rever Vtip")</x:f>
        <x:v>OK 250-500</x:v>
      </x:c>
      <x:c r="AI6" s="23" t="str">
        <x:f>IF(AND(AE6&gt;=18,AE6&lt;=35),"OK 18-35","rever KLa")</x:f>
        <x:v>OK 18-35</x:v>
      </x:c>
      <x:c r="AJ6" s="19" t="n">
        <x:f>AA6/1000</x:f>
        <x:v>0.7017439204865056</x:v>
      </x:c>
    </x:row>
    <x:row r="7">
      <x:c r="A7" s="27" t="str">
        <x:f>Inputs!B36</x:f>
        <x:v>Industrial 10.000 L</x:v>
      </x:c>
      <x:c r="B7" s="22" t="n">
        <x:f>Inputs!C36</x:f>
        <x:v>10000</x:v>
      </x:c>
      <x:c r="C7" s="20" t="n">
        <x:f>B7/1000</x:f>
        <x:v>10</x:v>
      </x:c>
      <x:c r="D7" s="17" t="n">
        <x:f>POWER((4*C7)/(PI()*Inputs!$B$13*Inputs!$B$14),1/3)</x:f>
        <x:v>2.0564730097528146</x:v>
      </x:c>
      <x:c r="E7" s="17" t="n">
        <x:f>Inputs!$B$14*D7</x:f>
        <x:v>3.7633456078476506</x:v>
      </x:c>
      <x:c r="F7" s="17" t="n">
        <x:f>Inputs!$B$13*E7</x:f>
        <x:v>3.0106764862781206</x:v>
      </x:c>
      <x:c r="G7" s="17" t="n">
        <x:f>Inputs!$B$15*D7</x:f>
        <x:v>0.6786360932184289</x:v>
      </x:c>
      <x:c r="H7" s="17" t="n">
        <x:f>Inputs!$B$16*D7</x:f>
        <x:v>0.20564730097528147</x:v>
      </x:c>
      <x:c r="I7" s="24" t="n">
        <x:f>C7*Inputs!$B$5/60</x:f>
        <x:v>0.18333333333333332</x:v>
      </x:c>
      <x:c r="J7" s="25" t="n">
        <x:f>I7*60000</x:f>
        <x:v>11000</x:v>
      </x:c>
      <x:c r="K7" s="26" t="n">
        <x:f>4*I7/(PI()*D7^2)</x:f>
        <x:v>0.05519573558176554</x:v>
      </x:c>
      <x:c r="L7" s="19" t="n">
        <x:f>(Inputs!$B$7/100)/(PI()*G7)</x:f>
        <x:v>1.7583504815764641</x:v>
      </x:c>
      <x:c r="M7" s="25" t="n">
        <x:f>L7*60/(2*PI())</x:f>
        <x:v>16.791010249854533</x:v>
      </x:c>
      <x:c r="N7" s="25" t="n">
        <x:f>PI()*G7*L7*100</x:f>
        <x:v>374.88</x:v>
      </x:c>
      <x:c r="O7" s="24" t="n">
        <x:f>Inputs!$B$8*L7*G7^2/Inputs!$B$9</x:f>
        <x:v>1023287.1064167297</x:v>
      </x:c>
      <x:c r="P7" s="25" t="n">
        <x:f>Inputs!$B$19*Inputs!$B$8*POWER(L7,3)*POWER(G7,5)</x:f>
        <x:v>5648.437920747155</x:v>
      </x:c>
      <x:c r="Q7" s="24" t="n">
        <x:f>P7/C7</x:f>
        <x:v>564.8437920747155</x:v>
      </x:c>
      <x:c r="R7" s="19" t="n">
        <x:f>POWER(L7,3.15)*POWER(G7,2.85)/POWER(I7,0.25)</x:f>
        <x:v>2.9952778203295463</x:v>
      </x:c>
      <x:c r="S7" s="26" t="n">
        <x:f>0.026*POWER(R7,0.4)*POWER(K7,0.5)</x:f>
        <x:v>0.009473292675388456</x:v>
      </x:c>
      <x:c r="T7" s="25" t="n">
        <x:f>S7*3600</x:f>
        <x:v>34.103853631398444</x:v>
      </x:c>
      <x:c r="U7" s="20" t="n">
        <x:f>S7*(Inputs!$B$10-Inputs!$B$11)</x:f>
        <x:v>0.05020845117955883</x:v>
      </x:c>
      <x:c r="V7" s="19" t="n">
        <x:f>Inputs!$B$12*POWER((G7/POWER(L7,4))/(Inputs!$B$26/POWER(Inputs!$B$21,4)),1/6)</x:f>
        <x:v>0.5978956103246856</x:v>
      </x:c>
      <x:c r="W7" s="19" t="n">
        <x:f>POWER((POWER(Inputs!$B$6/(0.026*POWER(K7,0.5)),1/0.4)*POWER(I7,0.25))/POWER(G7,2.85),1/3.15)</x:f>
        <x:v>1.3939496228961799</x:v>
      </x:c>
      <x:c r="X7" s="25" t="n">
        <x:f>W7*60/(2*PI())</x:f>
        <x:v>13.311238374300629</x:v>
      </x:c>
      <x:c r="Y7" s="25" t="n">
        <x:f>PI()*G7*W7*100</x:f>
        <x:v>297.1898037999858</x:v>
      </x:c>
      <x:c r="Z7" s="24" t="n">
        <x:f>Inputs!$B$8*W7*G7^2/Inputs!$B$9</x:f>
        <x:v>811220.909056346</x:v>
      </x:c>
      <x:c r="AA7" s="25" t="n">
        <x:f>Inputs!$B$19*Inputs!$B$8*POWER(W7,3)*POWER(G7,5)</x:f>
        <x:v>2814.1890055946164</x:v>
      </x:c>
      <x:c r="AB7" s="24" t="n">
        <x:f>AA7/C7</x:f>
        <x:v>281.41890055946163</x:v>
      </x:c>
      <x:c r="AC7" s="19" t="n">
        <x:f>POWER(W7,3.15)*POWER(G7,2.85)/POWER(I7,0.25)</x:f>
        <x:v>1.4412298808848423</x:v>
      </x:c>
      <x:c r="AD7" s="26" t="n">
        <x:f>0.026*POWER(AC7,0.4)*POWER(K7,0.5)</x:f>
        <x:v>0.00707</x:v>
      </x:c>
      <x:c r="AE7" s="25" t="n">
        <x:f>AD7*3600</x:f>
        <x:v>25.451999999999998</x:v>
      </x:c>
      <x:c r="AF7" s="20" t="n">
        <x:f>AD7*(Inputs!$B$10-Inputs!$B$11)</x:f>
        <x:v>0.037471000000000004</x:v>
      </x:c>
      <x:c r="AG7" s="19" t="n">
        <x:f>Inputs!$B$12*POWER((G7/POWER(W7,4))/(Inputs!$B$26/POWER(Inputs!$B$21,4)),1/6)</x:f>
        <x:v>0.6980142286213735</x:v>
      </x:c>
      <x:c r="AH7" s="23" t="str">
        <x:f>IF(AND(Y7&gt;=250,Y7&lt;=500),"OK 250-500","rever Vtip")</x:f>
        <x:v>OK 250-500</x:v>
      </x:c>
      <x:c r="AI7" s="23" t="str">
        <x:f>IF(AND(AE7&gt;=18,AE7&lt;=35),"OK 18-35","rever KLa")</x:f>
        <x:v>OK 18-35</x:v>
      </x:c>
      <x:c r="AJ7" s="19" t="n">
        <x:f>AA7/1000</x:f>
        <x:v>2.8141890055946166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670000076293945" hidden="0" customWidth="1"/>
    <x:col min="3" max="3" width="8.890000343322754" hidden="0" customWidth="1"/>
    <x:col min="4" max="4" width="8.890000343322754" hidden="0" customWidth="1"/>
    <x:col min="5" max="5" width="11.670000076293945" hidden="0" customWidth="1"/>
    <x:col min="6" max="6" width="12.779999732971191" hidden="0" customWidth="1"/>
    <x:col min="7" max="7" width="11.670000076293945" hidden="0" customWidth="1"/>
    <x:col min="8" max="8" width="15" hidden="0" customWidth="1"/>
    <x:col min="9" max="9" width="12.220000267028809" hidden="0" customWidth="1"/>
    <x:col min="10" max="10" width="3.3299999237060547" hidden="0" customWidth="1"/>
    <x:col min="11" max="11" width="10" hidden="0" customWidth="1"/>
    <x:col min="12" max="12" width="11.670000076293945" hidden="0" customWidth="1"/>
    <x:col min="13" max="13" width="11.670000076293945" hidden="0" customWidth="1"/>
  </x:cols>
  <x:sheetData>
    <x:row r="1" ht="25.5" customHeight="1">
      <x:c r="A1" s="4" t="str">
        <x:v>Sensibilidade: aeracao especifica vs rpm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3">
      <x:c r="A3" s="13" t="str">
        <x:v>Parametro</x:v>
      </x:c>
      <x:c r="B3" s="13" t="str">
        <x:v>Valor</x:v>
      </x:c>
      <x:c r="C3" s="13" t="str">
        <x:v>Unidade</x:v>
      </x:c>
    </x:row>
    <x:row r="4">
      <x:c r="A4" s="16" t="str">
        <x:v>Volume util analisado</x:v>
      </x:c>
      <x:c r="B4" s="16" t="n">
        <x:v>1000</x:v>
      </x:c>
      <x:c r="C4" s="16" t="str">
        <x:v>L</x:v>
      </x:c>
    </x:row>
    <x:row r="6">
      <x:c r="A6" s="7" t="str">
        <x:v>Variação de VVM para manter KLa alvo</x:v>
      </x:c>
      <x:c r="B6" s="8" t="str"/>
      <x:c r="C6" s="8" t="str"/>
      <x:c r="D6" s="8" t="str"/>
      <x:c r="E6" s="8" t="str"/>
      <x:c r="F6" s="8" t="str"/>
      <x:c r="G6" s="8" t="str"/>
      <x:c r="H6" s="8" t="str"/>
      <x:c r="I6" s="9" t="str"/>
    </x:row>
    <x:row r="7">
      <x:c r="A7" s="13" t="str">
        <x:v>VVM</x:v>
      </x:c>
      <x:c r="B7" s="13" t="str">
        <x:v>Q ar L/min</x:v>
      </x:c>
      <x:c r="C7" s="13" t="str">
        <x:v>DT m</x:v>
      </x:c>
      <x:c r="D7" s="13" t="str">
        <x:v>Da m</x:v>
      </x:c>
      <x:c r="E7" s="13" t="str">
        <x:v>rpm KLa cte</x:v>
      </x:c>
      <x:c r="F7" s="13" t="str">
        <x:v>Vtip KLa cm/s</x:v>
      </x:c>
      <x:c r="G7" s="13" t="str">
        <x:v>P KLa W</x:v>
      </x:c>
      <x:c r="H7" s="13" t="str">
        <x:v>KLa h^-1 em Vtip cte</x:v>
      </x:c>
      <x:c r="I7" s="13" t="str">
        <x:v>rpm Vtip cte</x:v>
      </x:c>
      <x:c r="K7" s="13" t="str">
        <x:v>VVM</x:v>
      </x:c>
      <x:c r="L7" s="13" t="str">
        <x:v>rpm KLa cte</x:v>
      </x:c>
      <x:c r="M7" s="13" t="str">
        <x:v>rpm Vtip cte</x:v>
      </x:c>
    </x:row>
    <x:row r="8">
      <x:c r="A8" s="25" t="n">
        <x:v>0.3</x:v>
      </x:c>
      <x:c r="B8" s="22" t="n">
        <x:f>$B$4*A8</x:f>
        <x:v>300</x:v>
      </x:c>
      <x:c r="C8" s="17" t="n">
        <x:f>POWER((4*($B$4/1000))/(PI()*Inputs!$B$13*Inputs!$B$14),1/3)</x:f>
        <x:v>0.9545302158694727</x:v>
      </x:c>
      <x:c r="D8" s="17" t="n">
        <x:f>Inputs!$B$15*C8</x:f>
        <x:v>0.314994971236926</x:v>
      </x:c>
      <x:c r="E8" s="25" t="n">
        <x:f>POWER((POWER(Inputs!$B$6/(0.026*POWER(4*(B8/60000)/(PI()*C8^2),0.5)),1/0.4)*POWER(B8/60000,0.25))/POWER(D8,2.85),1/3.15)*60/(2*PI())</x:f>
        <x:v>45.48305238688371</x:v>
      </x:c>
      <x:c r="F8" s="25" t="n">
        <x:f>PI()*D8*(E8*2*PI()/60)*100</x:f>
        <x:v>471.33719601183924</x:v>
      </x:c>
      <x:c r="G8" s="25" t="n">
        <x:f>Inputs!$B$19*Inputs!$B$8*POWER(E8*2*PI()/60,3)*POWER(D8,5)</x:f>
        <x:v>2418.688953706543</x:v>
      </x:c>
      <x:c r="H8" s="25" t="n">
        <x:f>0.026*POWER(POWER((Inputs!$B$7/100)/(PI()*D8),3.15)*POWER(D8,2.85)/POWER(B8/60000,0.25),0.4)*POWER(4*(B8/60000)/(PI()*C8^2),0.5)*3600</x:f>
        <x:v>19.073404398232228</x:v>
      </x:c>
      <x:c r="I8" s="25" t="n">
        <x:f>(Inputs!$B$7/100)/(PI()*D8)*60/(2*PI())</x:f>
        <x:v>36.17513496296754</x:v>
      </x:c>
      <x:c r="K8" s="16" t="n">
        <x:f>A8</x:f>
        <x:v>0.3</x:v>
      </x:c>
      <x:c r="L8" s="16" t="n">
        <x:f>E8</x:f>
        <x:v>45.48305238688371</x:v>
      </x:c>
      <x:c r="M8" s="16" t="n">
        <x:f>I8</x:f>
        <x:v>36.17513496296754</x:v>
      </x:c>
    </x:row>
    <x:row r="9">
      <x:c r="A9" s="25" t="n">
        <x:v>0.5</x:v>
      </x:c>
      <x:c r="B9" s="22" t="n">
        <x:f>$B$4*A9</x:f>
        <x:v>500</x:v>
      </x:c>
      <x:c r="C9" s="17" t="n">
        <x:f>POWER((4*($B$4/1000))/(PI()*Inputs!$B$13*Inputs!$B$14),1/3)</x:f>
        <x:v>0.9545302158694727</x:v>
      </x:c>
      <x:c r="D9" s="17" t="n">
        <x:f>Inputs!$B$15*C9</x:f>
        <x:v>0.314994971236926</x:v>
      </x:c>
      <x:c r="E9" s="25" t="n">
        <x:f>POWER((POWER(Inputs!$B$6/(0.026*POWER(4*(B9/60000)/(PI()*C9^2),0.5)),1/0.4)*POWER(B9/60000,0.25))/POWER(D9,2.85),1/3.15)*60/(2*PI())</x:f>
        <x:v>38.674207959989</x:v>
      </x:c>
      <x:c r="F9" s="25" t="n">
        <x:f>PI()*D9*(E9*2*PI()/60)*100</x:f>
        <x:v>400.77769149672724</x:v>
      </x:c>
      <x:c r="G9" s="25" t="n">
        <x:f>Inputs!$B$19*Inputs!$B$8*POWER(E9*2*PI()/60,3)*POWER(D9,5)</x:f>
        <x:v>1486.9470297788075</x:v>
      </x:c>
      <x:c r="H9" s="25" t="n">
        <x:f>0.026*POWER(POWER((Inputs!$B$7/100)/(PI()*D9),3.15)*POWER(D9,2.85)/POWER(B9/60000,0.25),0.4)*POWER(4*(B9/60000)/(PI()*C9^2),0.5)*3600</x:f>
        <x:v>23.397406299781665</x:v>
      </x:c>
      <x:c r="I9" s="25" t="n">
        <x:f>(Inputs!$B$7/100)/(PI()*D9)*60/(2*PI())</x:f>
        <x:v>36.17513496296754</x:v>
      </x:c>
      <x:c r="K9" s="16" t="n">
        <x:f>A9</x:f>
        <x:v>0.5</x:v>
      </x:c>
      <x:c r="L9" s="16" t="n">
        <x:f>E9</x:f>
        <x:v>38.674207959989</x:v>
      </x:c>
      <x:c r="M9" s="16" t="n">
        <x:f>I9</x:f>
        <x:v>36.17513496296754</x:v>
      </x:c>
    </x:row>
    <x:row r="10">
      <x:c r="A10" s="25" t="n">
        <x:v>0.8</x:v>
      </x:c>
      <x:c r="B10" s="22" t="n">
        <x:f>$B$4*A10</x:f>
        <x:v>800</x:v>
      </x:c>
      <x:c r="C10" s="17" t="n">
        <x:f>POWER((4*($B$4/1000))/(PI()*Inputs!$B$13*Inputs!$B$14),1/3)</x:f>
        <x:v>0.9545302158694727</x:v>
      </x:c>
      <x:c r="D10" s="17" t="n">
        <x:f>Inputs!$B$15*C10</x:f>
        <x:v>0.314994971236926</x:v>
      </x:c>
      <x:c r="E10" s="25" t="n">
        <x:f>POWER((POWER(Inputs!$B$6/(0.026*POWER(4*(B10/60000)/(PI()*C10^2),0.5)),1/0.4)*POWER(B10/60000,0.25))/POWER(D10,2.85),1/3.15)*60/(2*PI())</x:f>
        <x:v>33.3135897894848</x:v>
      </x:c>
      <x:c r="F10" s="25" t="n">
        <x:f>PI()*D10*(E10*2*PI()/60)*100</x:f>
        <x:v>345.226038633073</x:v>
      </x:c>
      <x:c r="G10" s="25" t="n">
        <x:f>Inputs!$B$19*Inputs!$B$8*POWER(E10*2*PI()/60,3)*POWER(D10,5)</x:f>
        <x:v>950.3761176672473</x:v>
      </x:c>
      <x:c r="H10" s="25" t="n">
        <x:f>0.026*POWER(POWER((Inputs!$B$7/100)/(PI()*D10),3.15)*POWER(D10,2.85)/POWER(B10/60000,0.25),0.4)*POWER(4*(B10/60000)/(PI()*C10^2),0.5)*3600</x:f>
        <x:v>28.236815086135053</x:v>
      </x:c>
      <x:c r="I10" s="25" t="n">
        <x:f>(Inputs!$B$7/100)/(PI()*D10)*60/(2*PI())</x:f>
        <x:v>36.17513496296754</x:v>
      </x:c>
      <x:c r="K10" s="16" t="n">
        <x:f>A10</x:f>
        <x:v>0.8</x:v>
      </x:c>
      <x:c r="L10" s="16" t="n">
        <x:f>E10</x:f>
        <x:v>33.3135897894848</x:v>
      </x:c>
      <x:c r="M10" s="16" t="n">
        <x:f>I10</x:f>
        <x:v>36.17513496296754</x:v>
      </x:c>
    </x:row>
    <x:row r="11">
      <x:c r="A11" s="25" t="n">
        <x:v>1.1</x:v>
      </x:c>
      <x:c r="B11" s="22" t="n">
        <x:f>$B$4*A11</x:f>
        <x:v>1100</x:v>
      </x:c>
      <x:c r="C11" s="17" t="n">
        <x:f>POWER((4*($B$4/1000))/(PI()*Inputs!$B$13*Inputs!$B$14),1/3)</x:f>
        <x:v>0.9545302158694727</x:v>
      </x:c>
      <x:c r="D11" s="17" t="n">
        <x:f>Inputs!$B$15*C11</x:f>
        <x:v>0.314994971236926</x:v>
      </x:c>
      <x:c r="E11" s="25" t="n">
        <x:f>POWER((POWER(Inputs!$B$6/(0.026*POWER(4*(B11/60000)/(PI()*C11^2),0.5)),1/0.4)*POWER(B11/60000,0.25))/POWER(D11,2.85),1/3.15)*60/(2*PI())</x:f>
        <x:v>30.11035079711972</x:v>
      </x:c>
      <x:c r="F11" s="25" t="n">
        <x:f>PI()*D11*(E11*2*PI()/60)*100</x:f>
        <x:v>312.0311318362605</x:v>
      </x:c>
      <x:c r="G11" s="25" t="n">
        <x:f>Inputs!$B$19*Inputs!$B$8*POWER(E11*2*PI()/60,3)*POWER(D11,5)</x:f>
        <x:v>701.7439204865055</x:v>
      </x:c>
      <x:c r="H11" s="25" t="n">
        <x:f>0.026*POWER(POWER((Inputs!$B$7/100)/(PI()*D11),3.15)*POWER(D11,2.85)/POWER(B11/60000,0.25),0.4)*POWER(4*(B11/60000)/(PI()*C11^2),0.5)*3600</x:f>
        <x:v>32.07279357167771</x:v>
      </x:c>
      <x:c r="I11" s="25" t="n">
        <x:f>(Inputs!$B$7/100)/(PI()*D11)*60/(2*PI())</x:f>
        <x:v>36.17513496296754</x:v>
      </x:c>
      <x:c r="K11" s="16" t="n">
        <x:f>A11</x:f>
        <x:v>1.1</x:v>
      </x:c>
      <x:c r="L11" s="16" t="n">
        <x:f>E11</x:f>
        <x:v>30.11035079711972</x:v>
      </x:c>
      <x:c r="M11" s="16" t="n">
        <x:f>I11</x:f>
        <x:v>36.17513496296754</x:v>
      </x:c>
    </x:row>
    <x:row r="12">
      <x:c r="A12" s="25" t="n">
        <x:v>1.5</x:v>
      </x:c>
      <x:c r="B12" s="22" t="n">
        <x:f>$B$4*A12</x:f>
        <x:v>1500</x:v>
      </x:c>
      <x:c r="C12" s="17" t="n">
        <x:f>POWER((4*($B$4/1000))/(PI()*Inputs!$B$13*Inputs!$B$14),1/3)</x:f>
        <x:v>0.9545302158694727</x:v>
      </x:c>
      <x:c r="D12" s="17" t="n">
        <x:f>Inputs!$B$15*C12</x:f>
        <x:v>0.314994971236926</x:v>
      </x:c>
      <x:c r="E12" s="25" t="n">
        <x:f>POWER((POWER(Inputs!$B$6/(0.026*POWER(4*(B12/60000)/(PI()*C12^2),0.5)),1/0.4)*POWER(B12/60000,0.25))/POWER(D12,2.85),1/3.15)*60/(2*PI())</x:f>
        <x:v>27.286910298044596</x:v>
      </x:c>
      <x:c r="F12" s="25" t="n">
        <x:f>PI()*D12*(E12*2*PI()/60)*100</x:f>
        <x:v>282.77204613065584</x:v>
      </x:c>
      <x:c r="G12" s="25" t="n">
        <x:f>Inputs!$B$19*Inputs!$B$8*POWER(E12*2*PI()/60,3)*POWER(D12,5)</x:f>
        <x:v>522.2690652948415</x:v>
      </x:c>
      <x:c r="H12" s="25" t="n">
        <x:f>0.026*POWER(POWER((Inputs!$B$7/100)/(PI()*D12),3.15)*POWER(D12,2.85)/POWER(B12/60000,0.25),0.4)*POWER(4*(B12/60000)/(PI()*C12^2),0.5)*3600</x:f>
        <x:v>36.309161407415544</x:v>
      </x:c>
      <x:c r="I12" s="25" t="n">
        <x:f>(Inputs!$B$7/100)/(PI()*D12)*60/(2*PI())</x:f>
        <x:v>36.17513496296754</x:v>
      </x:c>
      <x:c r="K12" s="16" t="n">
        <x:f>A12</x:f>
        <x:v>1.5</x:v>
      </x:c>
      <x:c r="L12" s="16" t="n">
        <x:f>E12</x:f>
        <x:v>27.286910298044596</x:v>
      </x:c>
      <x:c r="M12" s="16" t="n">
        <x:f>I12</x:f>
        <x:v>36.17513496296754</x:v>
      </x:c>
    </x:row>
    <x:row r="13">
      <x:c r="A13" s="25" t="n">
        <x:v>2</x:v>
      </x:c>
      <x:c r="B13" s="22" t="n">
        <x:f>$B$4*A13</x:f>
        <x:v>2000</x:v>
      </x:c>
      <x:c r="C13" s="17" t="n">
        <x:f>POWER((4*($B$4/1000))/(PI()*Inputs!$B$13*Inputs!$B$14),1/3)</x:f>
        <x:v>0.9545302158694727</x:v>
      </x:c>
      <x:c r="D13" s="17" t="n">
        <x:f>Inputs!$B$15*C13</x:f>
        <x:v>0.314994971236926</x:v>
      </x:c>
      <x:c r="E13" s="25" t="n">
        <x:f>POWER((POWER(Inputs!$B$6/(0.026*POWER(4*(B13/60000)/(PI()*C13^2),0.5)),1/0.4)*POWER(B13/60000,0.25))/POWER(D13,2.85),1/3.15)*60/(2*PI())</x:f>
        <x:v>24.905271026896585</x:v>
      </x:c>
      <x:c r="F13" s="25" t="n">
        <x:f>PI()*D13*(E13*2*PI()/60)*100</x:f>
        <x:v>258.0913108443341</x:v>
      </x:c>
      <x:c r="G13" s="25" t="n">
        <x:f>Inputs!$B$19*Inputs!$B$8*POWER(E13*2*PI()/60,3)*POWER(D13,5)</x:f>
        <x:v>397.1047023105918</x:v>
      </x:c>
      <x:c r="H13" s="25" t="n">
        <x:f>0.026*POWER(POWER((Inputs!$B$7/100)/(PI()*D13),3.15)*POWER(D13,2.85)/POWER(B13/60000,0.25),0.4)*POWER(4*(B13/60000)/(PI()*C13^2),0.5)*3600</x:f>
        <x:v>40.73725046788642</x:v>
      </x:c>
      <x:c r="I13" s="25" t="n">
        <x:f>(Inputs!$B$7/100)/(PI()*D13)*60/(2*PI())</x:f>
        <x:v>36.17513496296754</x:v>
      </x:c>
      <x:c r="K13" s="16" t="n">
        <x:f>A13</x:f>
        <x:v>2</x:v>
      </x:c>
      <x:c r="L13" s="16" t="n">
        <x:f>E13</x:f>
        <x:v>24.905271026896585</x:v>
      </x:c>
      <x:c r="M13" s="16" t="n">
        <x:f>I13</x:f>
        <x:v>36.17513496296754</x:v>
      </x:c>
    </x:row>
  </x:sheetData>
  <x:pageMargins left="0.7" right="0.7" top="0.75" bottom="0.75" header="0.3" footer="0.3"/>
  <x:drawing xmlns:r="http://schemas.openxmlformats.org/officeDocument/2006/relationships" r:id="R4b58a3476793447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0" hidden="0" customWidth="1"/>
  </x:cols>
  <x:sheetData>
    <x:row r="1" ht="25.5" customHeight="1">
      <x:c r="A1" s="4" t="str">
        <x:v>Checagens do modelo</x:v>
      </x:c>
      <x:c r="B1" s="4" t="str"/>
      <x:c r="C1" s="4" t="str"/>
      <x:c r="D1" s="4" t="str"/>
      <x:c r="E1" s="4" t="str"/>
      <x:c r="F1" s="4" t="str"/>
    </x:row>
    <x:row r="3">
      <x:c r="A3" s="13" t="str">
        <x:v>Item</x:v>
      </x:c>
      <x:c r="B3" s="13" t="str">
        <x:v>Calculado</x:v>
      </x:c>
      <x:c r="C3" s="13" t="str">
        <x:v>Referencia</x:v>
      </x:c>
      <x:c r="D3" s="13" t="str">
        <x:v>Tolerancia</x:v>
      </x:c>
      <x:c r="E3" s="13" t="str">
        <x:v>Diferenca abs.</x:v>
      </x:c>
      <x:c r="F3" s="13" t="str">
        <x:v>Status</x:v>
      </x:c>
    </x:row>
    <x:row r="4">
      <x:c r="A4" s="16" t="str">
        <x:v>Vtip bancada</x:v>
      </x:c>
      <x:c r="B4" s="26" t="n">
        <x:f>Modelo!N4</x:f>
        <x:v>374.88</x:v>
      </x:c>
      <x:c r="C4" s="26" t="n">
        <x:v>374.88</x:v>
      </x:c>
      <x:c r="D4" s="26" t="n">
        <x:v>0.05</x:v>
      </x:c>
      <x:c r="E4" s="26" t="n">
        <x:f>ABS(B4-C4)</x:f>
        <x:v>0</x:v>
      </x:c>
      <x:c r="F4" s="16" t="str">
        <x:f>IF(E4&lt;=D4,"OK","Revisar")</x:f>
        <x:v>OK</x:v>
      </x:c>
    </x:row>
    <x:row r="5">
      <x:c r="A5" s="16" t="str">
        <x:v>KLa bancada</x:v>
      </x:c>
      <x:c r="B5" s="26" t="n">
        <x:f>Modelo!S4</x:f>
        <x:v>0.007079661056051658</x:v>
      </x:c>
      <x:c r="C5" s="26" t="n">
        <x:v>0.00707</x:v>
      </x:c>
      <x:c r="D5" s="26" t="n">
        <x:v>0.00001</x:v>
      </x:c>
      <x:c r="E5" s="26" t="n">
        <x:f>ABS(B5-C5)</x:f>
        <x:v>0.000009661056051658325</x:v>
      </x:c>
      <x:c r="F5" s="16" t="str">
        <x:f>IF(E5&lt;=D5,"OK","Revisar")</x:f>
        <x:v>OK</x:v>
      </x:c>
    </x:row>
    <x:row r="6">
      <x:c r="A6" s="16" t="str">
        <x:v>P bancada</x:v>
      </x:c>
      <x:c r="B6" s="26" t="n">
        <x:f>Modelo!P4</x:f>
        <x:v>22.677300941994492</x:v>
      </x:c>
      <x:c r="C6" s="26" t="n">
        <x:v>22.68</x:v>
      </x:c>
      <x:c r="D6" s="26" t="n">
        <x:v>0.08</x:v>
      </x:c>
      <x:c r="E6" s="26" t="n">
        <x:f>ABS(B6-C6)</x:f>
        <x:v>0.0026990580055077373</x:v>
      </x:c>
      <x:c r="F6" s="16" t="str">
        <x:f>IF(E6&lt;=D6,"OK","Revisar")</x:f>
        <x:v>OK</x:v>
      </x:c>
    </x:row>
    <x:row r="7">
      <x:c r="A7" s="16" t="str">
        <x:v>P/V bancada</x:v>
      </x:c>
      <x:c r="B7" s="26" t="n">
        <x:f>Modelo!Q4</x:f>
        <x:v>11338.650470997245</x:v>
      </x:c>
      <x:c r="C7" s="26" t="n">
        <x:v>11340</x:v>
      </x:c>
      <x:c r="D7" s="26" t="n">
        <x:v>60</x:v>
      </x:c>
      <x:c r="E7" s="26" t="n">
        <x:f>ABS(B7-C7)</x:f>
        <x:v>1.3495290027549345</x:v>
      </x:c>
      <x:c r="F7" s="16" t="str">
        <x:f>IF(E7&lt;=D7,"OK","Revisar")</x:f>
        <x:v>OK</x:v>
      </x:c>
    </x:row>
    <x:row r="8">
      <x:c r="A8" s="16" t="str">
        <x:v>rpm por Vtip bancada</x:v>
      </x:c>
      <x:c r="B8" s="26" t="n">
        <x:f>Modelo!M4</x:f>
        <x:v>264.9996650500437</x:v>
      </x:c>
      <x:c r="C8" s="26" t="n">
        <x:v>265</x:v>
      </x:c>
      <x:c r="D8" s="26" t="n">
        <x:v>0.2</x:v>
      </x:c>
      <x:c r="E8" s="26" t="n">
        <x:f>ABS(B8-C8)</x:f>
        <x:v>0.00033494995631144775</x:v>
      </x:c>
      <x:c r="F8" s="16" t="str">
        <x:f>IF(E8&lt;=D8,"OK","Revisar")</x:f>
        <x:v>OK</x:v>
      </x:c>
    </x:row>
    <x:row r="9">
      <x:c r="A9" s="16" t="str">
        <x:v>rpm por KLa bancada</x:v>
      </x:c>
      <x:c r="B9" s="26" t="n">
        <x:f>Modelo!X4</x:f>
        <x:v>264.7126213026863</x:v>
      </x:c>
      <x:c r="C9" s="26" t="n">
        <x:v>265</x:v>
      </x:c>
      <x:c r="D9" s="26" t="n">
        <x:v>0.4</x:v>
      </x:c>
      <x:c r="E9" s="26" t="n">
        <x:f>ABS(B9-C9)</x:f>
        <x:v>0.2873786973137271</x:v>
      </x:c>
      <x:c r="F9" s="16" t="str">
        <x:f>IF(E9&lt;=D9,"OK","Revisar")</x:f>
        <x:v>OK</x:v>
      </x:c>
    </x:row>
    <x:row r="10">
      <x:c r="A10" s="16" t="str">
        <x:v>KLa criterio constante industrial</x:v>
      </x:c>
      <x:c r="B10" s="26" t="n">
        <x:f>Modelo!AE7</x:f>
        <x:v>25.451999999999998</x:v>
      </x:c>
      <x:c r="C10" s="26" t="n">
        <x:v>25.452</x:v>
      </x:c>
      <x:c r="D10" s="26" t="n">
        <x:v>0.05</x:v>
      </x:c>
      <x:c r="E10" s="26" t="n">
        <x:f>ABS(B10-C10)</x:f>
        <x:v>3.552713678800501e-15</x:v>
      </x:c>
      <x:c r="F10" s="16" t="str">
        <x:f>IF(E10&lt;=D10,"OK","Revisar")</x:f>
        <x:v>OK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7.779998779296875" hidden="0" customWidth="1"/>
    <x:col min="3" max="3" width="57.779998779296875" hidden="0" customWidth="1"/>
    <x:col min="4" max="4" width="40" hidden="0" customWidth="1"/>
    <x:col min="5" max="5" width="4.440000057220459" hidden="0" customWidth="1"/>
    <x:col min="6" max="6" width="4.440000057220459" hidden="0" customWidth="1"/>
  </x:cols>
  <x:sheetData>
    <x:row r="1" ht="25.5" customHeight="1">
      <x:c r="A1" s="4" t="str">
        <x:v>Fontes, equacoes e limites de uso</x:v>
      </x:c>
      <x:c r="B1" s="4" t="str"/>
      <x:c r="C1" s="4" t="str"/>
      <x:c r="D1" s="4" t="str"/>
      <x:c r="E1" s="4" t="str"/>
      <x:c r="F1" s="4" t="str"/>
    </x:row>
    <x:row r="3">
      <x:c r="A3" s="13" t="str">
        <x:v>Tema</x:v>
      </x:c>
      <x:c r="B3" s="13" t="str">
        <x:v>Conteudo</x:v>
      </x:c>
      <x:c r="C3" s="13" t="str">
        <x:v>Fonte / link</x:v>
      </x:c>
      <x:c r="D3" s="13" t="str">
        <x:v>Observacao</x:v>
      </x:c>
      <x:c r="E3" t="str"/>
      <x:c r="F3" t="str"/>
    </x:row>
    <x:row r="4">
      <x:c r="A4" s="29" t="str">
        <x:v>Tese</x:v>
      </x:c>
      <x:c r="B4" s="28" t="str">
        <x:v>Projeto de dimensionamento de biorreator em escala piloto para producao de Bradyrhizobium sp.</x:v>
      </x:c>
      <x:c r="C4" s="28" t="str">
        <x:v>https://repositorio.utfpr.edu.br/jspui/handle/1/31417</x:v>
      </x:c>
      <x:c r="D4" s="28" t="str">
        <x:v>Almeida, UTFPR, 2022</x:v>
      </x:c>
      <x:c r="E4" t="str"/>
      <x:c r="F4" t="str"/>
    </x:row>
    <x:row r="5">
      <x:c r="A5" s="29" t="str">
        <x:v>PDF</x:v>
      </x:c>
      <x:c r="B5" s="28" t="str">
        <x:v>Arquivo usado na leitura</x:v>
      </x:c>
      <x:c r="C5" s="28" t="str">
        <x:v>https://repositorio.utfpr.edu.br/jspui/bitstream/1/31417/1/dimensionamentobiorreatorproducaobradyrhizobium.pdf</x:v>
      </x:c>
      <x:c r="D5" s="28" t="str">
        <x:v>Baixado para extracao local</x:v>
      </x:c>
      <x:c r="E5" t="str"/>
      <x:c r="F5" t="str"/>
    </x:row>
    <x:row r="6">
      <x:c r="A6" s="29" t="str">
        <x:v>Bancada</x:v>
      </x:c>
      <x:c r="B6" s="28" t="str">
        <x:v>Volume util 0,002 m3; DT 0,127 m; Da 0,043 m; 265 rpm; 1,1 VVM</x:v>
      </x:c>
      <x:c r="C6" s="28" t="str">
        <x:v>Tabela 4</x:v>
      </x:c>
      <x:c r="D6" s="28" t="str">
        <x:v>Base do modelo</x:v>
      </x:c>
      <x:c r="E6" t="str"/>
      <x:c r="F6" t="str"/>
    </x:row>
    <x:row r="7">
      <x:c r="A7" s="29" t="str">
        <x:v>Geometria</x:v>
      </x:c>
      <x:c r="B7" s="28" t="str">
        <x:v>HL/HT=0,8; HT/DT=1,83; Da/DT=0,33; Db/DT=0,1</x:v>
      </x:c>
      <x:c r="C7" s="28" t="str">
        <x:v>Tabela 5</x:v>
      </x:c>
      <x:c r="D7" s="28" t="str">
        <x:v>Usado para escalas industriais</x:v>
      </x:c>
      <x:c r="E7" t="str"/>
      <x:c r="F7" t="str"/>
    </x:row>
    <x:row r="8">
      <x:c r="A8" s="29" t="str">
        <x:v>KLa alvo</x:v>
      </x:c>
      <x:c r="B8" s="28" t="str">
        <x:v>7,07E-03 s^-1</x:v>
      </x:c>
      <x:c r="C8" s="28" t="str">
        <x:v>Tabela 8 e resumo RIUT</x:v>
      </x:c>
      <x:c r="D8" s="28" t="str">
        <x:v>Equivale a 25,45 h^-1</x:v>
      </x:c>
      <x:c r="E8" t="str"/>
      <x:c r="F8" t="str"/>
    </x:row>
    <x:row r="9">
      <x:c r="A9" s="29" t="str">
        <x:v>Vtip alvo</x:v>
      </x:c>
      <x:c r="B9" s="28" t="str">
        <x:v>374,88 cm/s</x:v>
      </x:c>
      <x:c r="C9" s="28" t="str">
        <x:v>Tabela 8</x:v>
      </x:c>
      <x:c r="D9" s="28" t="str">
        <x:v>Proxy simples de cisalhamento</x:v>
      </x:c>
      <x:c r="E9" t="str"/>
      <x:c r="F9" t="str"/>
    </x:row>
    <x:row r="10">
      <x:c r="A10" s="29" t="str">
        <x:v>Equacao N</x:v>
      </x:c>
      <x:c r="B10" s="28" t="str">
        <x:v>N = 2*PI()*rpm/60</x:v>
      </x:c>
      <x:c r="C10" s="28" t="str">
        <x:v>Eq. 8</x:v>
      </x:c>
      <x:c r="D10" s="28" t="str">
        <x:v>Convencao da tese; reportado como RPS no texto</x:v>
      </x:c>
      <x:c r="E10" t="str"/>
      <x:c r="F10" t="str"/>
    </x:row>
    <x:row r="11">
      <x:c r="A11" s="29" t="str">
        <x:v>Equacao Vtip</x:v>
      </x:c>
      <x:c r="B11" s="28" t="str">
        <x:v>Vtip = PI()*Da*N</x:v>
      </x:c>
      <x:c r="C11" s="28" t="str">
        <x:v>Eq. 11</x:v>
      </x:c>
      <x:c r="D11" s="28" t="str">
        <x:v>Usada para cenario de cisalhamento constante</x:v>
      </x:c>
      <x:c r="E11" t="str"/>
      <x:c r="F11" t="str"/>
    </x:row>
    <x:row r="12">
      <x:c r="A12" s="29" t="str">
        <x:v>Equacao Pg/V</x:v>
      </x:c>
      <x:c r="B12" s="28" t="str">
        <x:v>Pg/V = N^3,15 * Da^2,85 / Q^0,25</x:v>
      </x:c>
      <x:c r="C12" s="28" t="str">
        <x:v>Eq. 16</x:v>
      </x:c>
      <x:c r="D12" s="28" t="str">
        <x:v>Forma reproduzida da tese</x:v>
      </x:c>
      <x:c r="E12" t="str"/>
      <x:c r="F12" t="str"/>
    </x:row>
    <x:row r="13">
      <x:c r="A13" s="29" t="str">
        <x:v>Equacao KLa</x:v>
      </x:c>
      <x:c r="B13" s="28" t="str">
        <x:v>KLa = 0,026*(Pg/V)^0,4*(Vs)^0,5</x:v>
      </x:c>
      <x:c r="C13" s="28" t="str">
        <x:v>Eq. 15</x:v>
      </x:c>
      <x:c r="D13" s="28" t="str">
        <x:v>Vs = 4Q/(PI()*DT^2)</x:v>
      </x:c>
      <x:c r="E13" t="str"/>
      <x:c r="F13" t="str"/>
    </x:row>
    <x:row r="14">
      <x:c r="A14" s="29" t="str">
        <x:v>Equacao OTR</x:v>
      </x:c>
      <x:c r="B14" s="28" t="str">
        <x:v>OTR = KLa*(C* - C)</x:v>
      </x:c>
      <x:c r="C14" s="28" t="str">
        <x:v>Eq. 20</x:v>
      </x:c>
      <x:c r="D14" s="28" t="str">
        <x:v>C*=7,57 mg/L; C=2,27 mg/L</x:v>
      </x:c>
      <x:c r="E14" t="str"/>
      <x:c r="F14" t="str"/>
    </x:row>
    <x:row r="15">
      <x:c r="A15" s="29" t="str">
        <x:v>Aereacao constante</x:v>
      </x:c>
      <x:c r="B15" s="28" t="str">
        <x:v>Foi assumida como VVM constante, nao vazao absoluta constante.</x:v>
      </x:c>
      <x:c r="C15" s="28" t="str">
        <x:v>Premissa deste modelo</x:v>
      </x:c>
      <x:c r="D15" s="28" t="str">
        <x:v>Se desejar Q absoluto fixo, substitua Q na aba Modelo</x:v>
      </x:c>
      <x:c r="E15" t="str"/>
      <x:c r="F15" t="str"/>
    </x:row>
    <x:row r="16">
      <x:c r="A16" s="29" t="str">
        <x:v>Limite tecnico</x:v>
      </x:c>
      <x:c r="B16" s="28" t="str">
        <x:v>Vtip e um proxy; cisalhamento real de bolhas depende de sparger, coalescencia, tensao superficial, viscosidade, pressao e antiespumante.</x:v>
      </x:c>
      <x:c r="C16" s="28" t="str">
        <x:v>Premissa de engenharia</x:v>
      </x:c>
      <x:c r="D16" s="28" t="str">
        <x:v>Validar em teste piloto</x:v>
      </x:c>
      <x:c r="E16" t="str"/>
      <x:c r="F16" t="str"/>
    </x:row>
    <x:row r="17">
      <x:c r="A17" s="29" t="str">
        <x:v>Escala final</x:v>
      </x:c>
      <x:c r="B17" s="28" t="str">
        <x:v>O pedido repetia 1.000 L/mil litros; a planilha inclui 10.000 L como estagio editavel.</x:v>
      </x:c>
      <x:c r="C17" s="28" t="str">
        <x:v>Interpretacao operacional</x:v>
      </x:c>
      <x:c r="D17" s="28" t="str">
        <x:v>Troque em Inputs se necessario</x:v>
      </x:c>
      <x:c r="E17" t="str"/>
      <x:c r="F17" t="str"/>
    </x:row>
    <x:row r="18">
      <x:c r="A18" s="29" t="str">
        <x:v>Uso recomendado</x:v>
      </x:c>
      <x:c r="B18" s="28" t="str">
        <x:v>Use Vtip constante quando o objetivo principal for limitar cisalhamento; use KLa constante quando o gargalo for oxigenacao.</x:v>
      </x:c>
      <x:c r="C18" s="28" t="str">
        <x:v>Conclusao coerente com a tese</x:v>
      </x:c>
      <x:c r="D18" s="28" t="str">
        <x:v>Comparar potencia instalada</x:v>
      </x:c>
      <x:c r="E18" t="str"/>
      <x:c r="F18" t="str"/>
    </x:row>
  </x:sheetData>
  <x:pageMargins left="0.7" right="0.7" top="0.75" bottom="0.75" header="0.3" footer="0.3"/>
</x:worksheet>
</file>